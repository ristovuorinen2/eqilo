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hdep\Sync\Sales-Information\Partner files\Price list\"/>
    </mc:Choice>
  </mc:AlternateContent>
  <xr:revisionPtr revIDLastSave="0" documentId="13_ncr:1_{BCCA69F1-5E48-4FFF-8AC6-74C407BE67EC}" xr6:coauthVersionLast="47" xr6:coauthVersionMax="47" xr10:uidLastSave="{00000000-0000-0000-0000-000000000000}"/>
  <bookViews>
    <workbookView xWindow="-120" yWindow="-120" windowWidth="25440" windowHeight="15270" xr2:uid="{748CF7B7-CDA7-4255-9394-FA572F766B3E}"/>
  </bookViews>
  <sheets>
    <sheet name="Official Price list" sheetId="1" r:id="rId1"/>
  </sheets>
  <externalReferences>
    <externalReference r:id="rId2"/>
  </externalReferences>
  <definedNames>
    <definedName name="Nom_Client" localSheetId="0">[1]Client!$B:$B</definedName>
    <definedName name="Nom_Client">[1]Client!$B:$B</definedName>
    <definedName name="_xlnm.Print_Area" localSheetId="0">'Official Price list'!$A:$G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" i="1" l="1"/>
  <c r="F160" i="1"/>
  <c r="F156" i="1"/>
  <c r="F155" i="1"/>
  <c r="F154" i="1"/>
  <c r="F153" i="1"/>
  <c r="F152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8" i="1"/>
  <c r="F17" i="1"/>
  <c r="F16" i="1"/>
  <c r="F14" i="1"/>
  <c r="F13" i="1"/>
  <c r="F12" i="1"/>
  <c r="F11" i="1"/>
  <c r="F10" i="1"/>
  <c r="F9" i="1"/>
  <c r="F8" i="1"/>
  <c r="F7" i="1"/>
  <c r="F6" i="1"/>
  <c r="F5" i="1"/>
  <c r="F4" i="1"/>
  <c r="E2" i="1"/>
  <c r="F2" i="1" l="1"/>
</calcChain>
</file>

<file path=xl/sharedStrings.xml><?xml version="1.0" encoding="utf-8"?>
<sst xmlns="http://schemas.openxmlformats.org/spreadsheetml/2006/main" count="536" uniqueCount="336">
  <si>
    <t>Official Price List 2026</t>
  </si>
  <si>
    <t>V3.0</t>
  </si>
  <si>
    <t>Order N°</t>
  </si>
  <si>
    <t>Total</t>
  </si>
  <si>
    <t>Ref</t>
  </si>
  <si>
    <t>DESCRIPTION EN</t>
  </si>
  <si>
    <t>Select your Discount</t>
  </si>
  <si>
    <t>Quantity Request</t>
  </si>
  <si>
    <t>Total Price</t>
  </si>
  <si>
    <t>Custom Code</t>
  </si>
  <si>
    <t>Photo</t>
  </si>
  <si>
    <t>Kit</t>
  </si>
  <si>
    <t>FDS-K10011</t>
  </si>
  <si>
    <t>OK</t>
  </si>
  <si>
    <t>FDS-K10012</t>
  </si>
  <si>
    <t>FDS-K10013</t>
  </si>
  <si>
    <t>FDS-K10014</t>
  </si>
  <si>
    <t>FDS-K10026</t>
  </si>
  <si>
    <t>FDS-K10247</t>
  </si>
  <si>
    <t>FDS-K10284</t>
  </si>
  <si>
    <t>FDS-K10285</t>
  </si>
  <si>
    <t>FDS-K10290</t>
  </si>
  <si>
    <t>FDS-K10367</t>
  </si>
  <si>
    <t>FDS-K10368</t>
  </si>
  <si>
    <t>Timer</t>
  </si>
  <si>
    <t>FDS-T10001</t>
  </si>
  <si>
    <t>FDS-T10003</t>
  </si>
  <si>
    <t>FDS-T10019</t>
  </si>
  <si>
    <t>Display</t>
  </si>
  <si>
    <t>FDS-D10021</t>
  </si>
  <si>
    <t>FDS-D10027</t>
  </si>
  <si>
    <t>FDS-D10028</t>
  </si>
  <si>
    <t>FDS-D10029</t>
  </si>
  <si>
    <t>FDS-D10025</t>
  </si>
  <si>
    <t>FDS-D10030</t>
  </si>
  <si>
    <t>FDS-D10031</t>
  </si>
  <si>
    <t>FDS-D10032</t>
  </si>
  <si>
    <t>FDS-D10037</t>
  </si>
  <si>
    <t>FDS-D10256</t>
  </si>
  <si>
    <t>FDS-D10257</t>
  </si>
  <si>
    <t>FDS-D10310</t>
  </si>
  <si>
    <t>FDS-D10311</t>
  </si>
  <si>
    <t>FDS-D10035</t>
  </si>
  <si>
    <t>FDS-D10278</t>
  </si>
  <si>
    <t>FDS-D10323</t>
  </si>
  <si>
    <t>FDS-D10329</t>
  </si>
  <si>
    <t>FDS-D10330</t>
  </si>
  <si>
    <t>FDS-D10327</t>
  </si>
  <si>
    <t>FDS-D10372</t>
  </si>
  <si>
    <t>FDS-D10373</t>
  </si>
  <si>
    <t>FDS-D10291</t>
  </si>
  <si>
    <t>FDS-A10362</t>
  </si>
  <si>
    <t>FDS-D10314</t>
  </si>
  <si>
    <t>FDS-A10275</t>
  </si>
  <si>
    <t>FDS-A10371</t>
  </si>
  <si>
    <t>FDS-A10023</t>
  </si>
  <si>
    <t>FDS-A10033</t>
  </si>
  <si>
    <t>FDS-A10034</t>
  </si>
  <si>
    <t>FDS-D10359</t>
  </si>
  <si>
    <t>FDS-D10348</t>
  </si>
  <si>
    <t>FDS-D10358</t>
  </si>
  <si>
    <t>FDS-A10305</t>
  </si>
  <si>
    <t>FDS-D10292</t>
  </si>
  <si>
    <t>FDS-D10366</t>
  </si>
  <si>
    <t>FDS-D10347</t>
  </si>
  <si>
    <t>FDS-A10315</t>
  </si>
  <si>
    <t>FDS-A10242</t>
  </si>
  <si>
    <t>FDS-A10332</t>
  </si>
  <si>
    <t>FDS-A10333</t>
  </si>
  <si>
    <t>FDS-A10225</t>
  </si>
  <si>
    <t>FDS-A10245</t>
  </si>
  <si>
    <t>FDS-A10346</t>
  </si>
  <si>
    <t>Peripheral</t>
  </si>
  <si>
    <t>FDS-P10006</t>
  </si>
  <si>
    <t>FDS-P10009</t>
  </si>
  <si>
    <t>FDS-P10010</t>
  </si>
  <si>
    <t>FDS-A10266</t>
  </si>
  <si>
    <t>FDS-A10267</t>
  </si>
  <si>
    <t>FDS-A10268</t>
  </si>
  <si>
    <t>FDS-K10269</t>
  </si>
  <si>
    <t>FDS-K10270</t>
  </si>
  <si>
    <t>FDS-P10280</t>
  </si>
  <si>
    <t>FDS-P10329</t>
  </si>
  <si>
    <t>FDS-A10340</t>
  </si>
  <si>
    <t>FDS-P10338</t>
  </si>
  <si>
    <t>FDS-A10020</t>
  </si>
  <si>
    <t>FDS-A10309</t>
  </si>
  <si>
    <t>FDS-A10324</t>
  </si>
  <si>
    <t>FDS-P10351</t>
  </si>
  <si>
    <t>FDS-P10349</t>
  </si>
  <si>
    <t>FDS-P10350</t>
  </si>
  <si>
    <t>Accessories</t>
  </si>
  <si>
    <t>FDS-P10007</t>
  </si>
  <si>
    <t>FDS-P10008</t>
  </si>
  <si>
    <t>FDS-A10272</t>
  </si>
  <si>
    <t>FDS-A10190</t>
  </si>
  <si>
    <t>FDS-A10289</t>
  </si>
  <si>
    <t>FDS-A10246</t>
  </si>
  <si>
    <t>FDS-A10223</t>
  </si>
  <si>
    <t>FDS-A10353</t>
  </si>
  <si>
    <t>FDS-A10163</t>
  </si>
  <si>
    <t>FDS-A10164</t>
  </si>
  <si>
    <t>FDS-A10262</t>
  </si>
  <si>
    <t>FDS-A10279</t>
  </si>
  <si>
    <t>FDS-A10282</t>
  </si>
  <si>
    <t>FDS-A10264</t>
  </si>
  <si>
    <t>FDS-A10281</t>
  </si>
  <si>
    <t>FDS-A10344</t>
  </si>
  <si>
    <t>FDS-A10121</t>
  </si>
  <si>
    <t>FDS-A10122</t>
  </si>
  <si>
    <t>FDS-A10273</t>
  </si>
  <si>
    <t>FDS-A10300</t>
  </si>
  <si>
    <t>FDS-A10319</t>
  </si>
  <si>
    <t>Cables</t>
  </si>
  <si>
    <t>FDS-A10183</t>
  </si>
  <si>
    <t>FDS-A10170</t>
  </si>
  <si>
    <t>FDS-A10100</t>
  </si>
  <si>
    <t>ok</t>
  </si>
  <si>
    <t>FDS-A10101</t>
  </si>
  <si>
    <t>FDS-A10125</t>
  </si>
  <si>
    <t>FDS-A10201</t>
  </si>
  <si>
    <t>FDS-A10181</t>
  </si>
  <si>
    <t>FDS-A10334</t>
  </si>
  <si>
    <t>FDS-A10198</t>
  </si>
  <si>
    <t>FDS-A10199</t>
  </si>
  <si>
    <t>FDS-A10224</t>
  </si>
  <si>
    <t>FDS-A10265</t>
  </si>
  <si>
    <t>FDS-A10294</t>
  </si>
  <si>
    <t>FDS-A10295</t>
  </si>
  <si>
    <t>FDS-A10297</t>
  </si>
  <si>
    <t>FDS-A10301</t>
  </si>
  <si>
    <t>FDS-A10345</t>
  </si>
  <si>
    <t>FDS-A10302</t>
  </si>
  <si>
    <t>FDS-A10341</t>
  </si>
  <si>
    <t>FDS-A10287</t>
  </si>
  <si>
    <t>FDS-A10299</t>
  </si>
  <si>
    <t>FDS-A10320</t>
  </si>
  <si>
    <t>After Sales</t>
  </si>
  <si>
    <t>FDS-A10131</t>
  </si>
  <si>
    <t>FDS-A10160</t>
  </si>
  <si>
    <t>FDS-A10204</t>
  </si>
  <si>
    <t>FDS-A10276</t>
  </si>
  <si>
    <t>FDS-A10313</t>
  </si>
  <si>
    <t>FDS-A10364</t>
  </si>
  <si>
    <t>FDS-A10277</t>
  </si>
  <si>
    <t>FDS-A10015</t>
  </si>
  <si>
    <t>FDS-M10115</t>
  </si>
  <si>
    <t>FDS-M10171</t>
  </si>
  <si>
    <t>FDS-M10106K</t>
  </si>
  <si>
    <t>FDS-M10106</t>
  </si>
  <si>
    <t>FDS-M10107</t>
  </si>
  <si>
    <t>FDS-M10336</t>
  </si>
  <si>
    <t>FDS-M10361</t>
  </si>
  <si>
    <t>FDS-A10328</t>
  </si>
  <si>
    <t>FDS-M10123</t>
  </si>
  <si>
    <t>FDS-M10124</t>
  </si>
  <si>
    <t>FDS-A10370</t>
  </si>
  <si>
    <t>FDS-A10331</t>
  </si>
  <si>
    <t>IOS App</t>
  </si>
  <si>
    <t>FDS-S10182</t>
  </si>
  <si>
    <t>FDS-S10211</t>
  </si>
  <si>
    <t>FDS-S10210</t>
  </si>
  <si>
    <t>FDS-A10339</t>
  </si>
  <si>
    <t xml:space="preserve">TBox-Setup </t>
  </si>
  <si>
    <t>Free of charge</t>
  </si>
  <si>
    <t>TBox-Chrono</t>
  </si>
  <si>
    <t>Device Manage</t>
  </si>
  <si>
    <t>Remote-Timer</t>
  </si>
  <si>
    <t>S-Kit - Start Kit (2x WIRC + TBox-Radio)</t>
  </si>
  <si>
    <t>W-Kit - Wireless Kit (WIRC-WINP-TBox-Radio)</t>
  </si>
  <si>
    <t>A-Kit - Advanced kit (4x WIRC + TBox-Radio)</t>
  </si>
  <si>
    <t>J-Kit - Jumping Kit (3x WIRC + TBox-Radio)</t>
  </si>
  <si>
    <t>SW-Kit (2x WIRC + TBox-V11)</t>
  </si>
  <si>
    <t>WP-Kit (2x WIRC, 2x WINP)</t>
  </si>
  <si>
    <t>T-Kit (Training)</t>
  </si>
  <si>
    <t>TI-Kit (Training - Identification)</t>
  </si>
  <si>
    <t>RS-Kit (Rally Stage)</t>
  </si>
  <si>
    <t>TBox without GPS V11</t>
  </si>
  <si>
    <t>TBox with GPS V21</t>
  </si>
  <si>
    <t>TBox-Radio with GPS V41</t>
  </si>
  <si>
    <t>MLED</t>
  </si>
  <si>
    <t>3x MLED</t>
  </si>
  <si>
    <t>6x MLED</t>
  </si>
  <si>
    <t>12x MLED</t>
  </si>
  <si>
    <t>MLED-3S</t>
  </si>
  <si>
    <t>MLED-6S</t>
  </si>
  <si>
    <t>MLED-23S</t>
  </si>
  <si>
    <t>MLED-26S</t>
  </si>
  <si>
    <t>MLED-SpeedTrap</t>
  </si>
  <si>
    <t>Platine MLED-Radio</t>
  </si>
  <si>
    <t>MLED-3R</t>
  </si>
  <si>
    <t>MLED-26R</t>
  </si>
  <si>
    <t>MLED-23R</t>
  </si>
  <si>
    <t>MLED-CTRL</t>
  </si>
  <si>
    <t>MLED-1SC (Start-Clock)</t>
  </si>
  <si>
    <t>Dbox</t>
  </si>
  <si>
    <t>MLED-1D</t>
  </si>
  <si>
    <t>MLED-3D</t>
  </si>
  <si>
    <t>MLED Start-Clock (Dbox)</t>
  </si>
  <si>
    <t>DLED96-S (Single side)</t>
  </si>
  <si>
    <t>DLED96-D (Double side)</t>
  </si>
  <si>
    <t>MLED-DS (Double Side)</t>
  </si>
  <si>
    <t>MLED-DS Back Plate</t>
  </si>
  <si>
    <t>MLED-DS Ctrl-Batt</t>
  </si>
  <si>
    <t xml:space="preserve">MLED-1C fixing </t>
  </si>
  <si>
    <t>MLED-1 Skeleton</t>
  </si>
  <si>
    <t>Skeleton MLED 3</t>
  </si>
  <si>
    <t>Skeleton MLED-6</t>
  </si>
  <si>
    <t>Skeleton MLED-23</t>
  </si>
  <si>
    <t>MLED-26 Skeleton</t>
  </si>
  <si>
    <t>MLED-23 Flexi-Frame</t>
  </si>
  <si>
    <t>MLED-24 Flexi-Frame</t>
  </si>
  <si>
    <t>Skeleton MLED 26</t>
  </si>
  <si>
    <t>MLED Double Side Shell</t>
  </si>
  <si>
    <t>MLD-DS Frame</t>
  </si>
  <si>
    <t>Frame MLED Start-Clock</t>
  </si>
  <si>
    <t>Suction cup for MLED-DS (Pair)</t>
  </si>
  <si>
    <t xml:space="preserve">Adapt MLED Cable </t>
  </si>
  <si>
    <t>MLED Switch Back (Data + Power) - Cable</t>
  </si>
  <si>
    <t>MLED Switch Back (Data + Power) - Dbox</t>
  </si>
  <si>
    <t>MLED Switchback XT60</t>
  </si>
  <si>
    <t>Adapt MLED Cable Up/dw line</t>
  </si>
  <si>
    <t>Start-Clock Transport case</t>
  </si>
  <si>
    <t>FDS-TP - Thermical Printer</t>
  </si>
  <si>
    <t>Photocells WIRC</t>
  </si>
  <si>
    <t>Transmitter Wiressless Input</t>
  </si>
  <si>
    <t>Remote Contrôle ID Box</t>
  </si>
  <si>
    <t>Kit RFID 20x wristband</t>
  </si>
  <si>
    <t>Kit RFID 20x Tag</t>
  </si>
  <si>
    <t>Kit RCID + 30 wristband RFID</t>
  </si>
  <si>
    <t>Kit RCID + 30 Tag RFID</t>
  </si>
  <si>
    <t>Start Gate WISG</t>
  </si>
  <si>
    <t>Start Gate WISG FIS</t>
  </si>
  <si>
    <t>SIM Card annual Fees</t>
  </si>
  <si>
    <t>NETB-LTE</t>
  </si>
  <si>
    <t>FDS Push-Button</t>
  </si>
  <si>
    <t>Opto-coupler</t>
  </si>
  <si>
    <t>Interface Ethernet-RS232</t>
  </si>
  <si>
    <t>WIRM Photocells</t>
  </si>
  <si>
    <t>WIRM Tx</t>
  </si>
  <si>
    <t>WIRM Rx</t>
  </si>
  <si>
    <t>Transmitter WIRC</t>
  </si>
  <si>
    <t>Reciever WIRC</t>
  </si>
  <si>
    <t>Power supply 300W</t>
  </si>
  <si>
    <t>Power MLED 150W</t>
  </si>
  <si>
    <t>Accu Pack (15Ah/12V)</t>
  </si>
  <si>
    <t>Tripod 8 seg</t>
  </si>
  <si>
    <t>MLED Tripod</t>
  </si>
  <si>
    <t>WIRM Tripod</t>
  </si>
  <si>
    <t xml:space="preserve">Pair of fixation clamp </t>
  </si>
  <si>
    <t>Pair of headball</t>
  </si>
  <si>
    <t>WIRC Protection (pair)</t>
  </si>
  <si>
    <t>Waterproof box for WIRC (pair)</t>
  </si>
  <si>
    <t>Fixation WISG</t>
  </si>
  <si>
    <t>Thermal paper roll</t>
  </si>
  <si>
    <t>Wand WISG</t>
  </si>
  <si>
    <t>4G Antenna</t>
  </si>
  <si>
    <t>GPS Antenna</t>
  </si>
  <si>
    <t>Radio Antenna 868MHz</t>
  </si>
  <si>
    <t>Antenna 3m cable</t>
  </si>
  <si>
    <t>Directional Antenna</t>
  </si>
  <si>
    <t>Antenne extender 2m</t>
  </si>
  <si>
    <t xml:space="preserve">10m data cable </t>
  </si>
  <si>
    <t>Jack cable 5m</t>
  </si>
  <si>
    <t>Jack-Rs232 cable</t>
  </si>
  <si>
    <t>Pair of Jack-Banana Cable</t>
  </si>
  <si>
    <t>USB Cable</t>
  </si>
  <si>
    <t>RS232 M/F 3m Cable</t>
  </si>
  <si>
    <t>5m Data Cable M/M</t>
  </si>
  <si>
    <t>RS232 Cable M/F - 30m</t>
  </si>
  <si>
    <t>5m power extender MLED</t>
  </si>
  <si>
    <t>3m power extender MLED</t>
  </si>
  <si>
    <t>USB-RS232 Adaptor</t>
  </si>
  <si>
    <t>Jack-Jack 3m Cable (RFID)</t>
  </si>
  <si>
    <t>AUX to Printer Cable</t>
  </si>
  <si>
    <t>AUX to PC Cable</t>
  </si>
  <si>
    <t>AUX-Banana Sync Cable</t>
  </si>
  <si>
    <t>Cable Printer-Subd</t>
  </si>
  <si>
    <t>Adaptor cable NETB-Tbox (jack-MR30)</t>
  </si>
  <si>
    <t>Jack-Printer Cable</t>
  </si>
  <si>
    <t>USB-C to RS232 Converter</t>
  </si>
  <si>
    <t xml:space="preserve">RS232 AUX - Printer cable </t>
  </si>
  <si>
    <t>15m Data Cable - TBox to MLED Display</t>
  </si>
  <si>
    <t>MLED-RS232 Cable</t>
  </si>
  <si>
    <t>Neopren House WIRC</t>
  </si>
  <si>
    <t>Kit tranport bag</t>
  </si>
  <si>
    <t>Tranport bag neopren MLED</t>
  </si>
  <si>
    <t>Tranport case for Street-Race</t>
  </si>
  <si>
    <t>Timing Kit Case + Foam Insert</t>
  </si>
  <si>
    <t>Timing Kit Case</t>
  </si>
  <si>
    <t>Speaker with protection case</t>
  </si>
  <si>
    <t>Battery Case</t>
  </si>
  <si>
    <t>Keypad WIRC</t>
  </si>
  <si>
    <t>Charger Printer</t>
  </si>
  <si>
    <t>PCB WIRC-Tx with batt Keypad</t>
  </si>
  <si>
    <t>PCB WIRC-Tx with batt</t>
  </si>
  <si>
    <t>PCB WIRC-Rx with batt</t>
  </si>
  <si>
    <t>WINP PCB with Battery</t>
  </si>
  <si>
    <t>WISG PCB with Battery</t>
  </si>
  <si>
    <t>Thermal Printer Batt</t>
  </si>
  <si>
    <t>Batterie TBox - 2500mA/h</t>
  </si>
  <si>
    <t>Batterie WIRC - 1700mA/h</t>
  </si>
  <si>
    <t>XT60 MLED Power Connectors (5 pairs)</t>
  </si>
  <si>
    <t>MR30 MLED Data Connectors (5 pairs)</t>
  </si>
  <si>
    <t>Smart-Jumping annual Fees</t>
  </si>
  <si>
    <t>Smart-Chrono annual fee</t>
  </si>
  <si>
    <t>WebResults Annual fee</t>
  </si>
  <si>
    <t>Server Annual fee for NETB</t>
  </si>
  <si>
    <t>9110 90 00 90</t>
  </si>
  <si>
    <t>9014 80 00 00</t>
  </si>
  <si>
    <t>8531 20 20 90</t>
  </si>
  <si>
    <t>8506 10 98 00</t>
  </si>
  <si>
    <t>8517 69 90 00</t>
  </si>
  <si>
    <t>8517 70 00 00</t>
  </si>
  <si>
    <t>8544 42 10 00</t>
  </si>
  <si>
    <t>8413 70 20 00</t>
  </si>
  <si>
    <t>8473 30 80 00</t>
  </si>
  <si>
    <t>8443 32 10 00</t>
  </si>
  <si>
    <t>8539 49 00 00</t>
  </si>
  <si>
    <t>8543 20  00 00</t>
  </si>
  <si>
    <t>8543 90 00 00</t>
  </si>
  <si>
    <t>8473 40 80 00</t>
  </si>
  <si>
    <t>8536 50 07 00</t>
  </si>
  <si>
    <t>8542.90.00</t>
  </si>
  <si>
    <t>8528 59 00 20</t>
  </si>
  <si>
    <t>9620 00 10 00</t>
  </si>
  <si>
    <t xml:space="preserve">4809 90 00 10 </t>
  </si>
  <si>
    <t>4202119090</t>
  </si>
  <si>
    <t>8544 42 10</t>
  </si>
  <si>
    <t>4202 12 91 90</t>
  </si>
  <si>
    <t>4202 12 50 00</t>
  </si>
  <si>
    <t>8518 90 00 00</t>
  </si>
  <si>
    <t>8471 60 00</t>
  </si>
  <si>
    <t>8543 90 35 00</t>
  </si>
  <si>
    <t xml:space="preserve">SD-Kit (2x WIRM + Tbox + Tripod) </t>
  </si>
  <si>
    <t xml:space="preserve">BD-Kit (2x WIRM + Tbox)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</si>
</sst>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-* #,##0.00\ [$€-40C]_-;\-* #,##0.00\ [$€-40C]_-;_-* &quot;-&quot;??\ [$€-40C]_-;_-@_-"/>
    <numFmt numFmtId="166" formatCode="[&gt;0]\ &quot;€&quot;\ * #,##0.00\ ;[&lt;0]\ &quot;€&quot;\ * \-#,##0.00\ ;\ &quot;€&quot;\ * &quot;-&quot;#??\ ;\ @\ "/>
    <numFmt numFmtId="167" formatCode="[&gt;0]\ * #,##0.00\ &quot;€&quot;\ ;[&lt;0]\-* #,##0.00\ &quot;€&quot;\ ;\ * &quot;-&quot;#??\ &quot;€&quot;\ ;\ @\ "/>
    <numFmt numFmtId="168" formatCode="_ * #,##0_ ;_ * \-#,##0_ ;_ * &quot;-&quot;??_ ;_ @_ "/>
    <numFmt numFmtId="169" formatCode="#0.000"/>
  </numFmts>
  <fonts count="20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i/>
      <sz val="10"/>
      <color rgb="FFFF0000"/>
      <name val="Arial"/>
      <family val="2"/>
    </font>
    <font>
      <b/>
      <sz val="10"/>
      <name val="Arial"/>
      <family val="2"/>
    </font>
    <font>
      <b/>
      <sz val="12"/>
      <color rgb="FF00B050"/>
      <name val="Arial"/>
      <family val="2"/>
    </font>
    <font>
      <b/>
      <sz val="12"/>
      <color theme="9"/>
      <name val="Arial"/>
      <family val="2"/>
    </font>
    <font>
      <b/>
      <sz val="10"/>
      <color rgb="FFFF0000"/>
      <name val="Arial"/>
      <family val="2"/>
    </font>
    <font>
      <b/>
      <sz val="24"/>
      <color theme="8" tint="-0.499984740745262"/>
      <name val="Arial"/>
      <family val="2"/>
    </font>
    <font>
      <b/>
      <sz val="24"/>
      <color theme="5"/>
      <name val="Arial"/>
      <family val="2"/>
    </font>
    <font>
      <b/>
      <sz val="24"/>
      <color theme="7"/>
      <name val="Arial"/>
      <family val="2"/>
    </font>
    <font>
      <b/>
      <sz val="24"/>
      <color theme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24"/>
      <color theme="9"/>
      <name val="Arial"/>
      <family val="2"/>
    </font>
    <font>
      <b/>
      <sz val="24"/>
      <color theme="6" tint="0.39997558519241921"/>
      <name val="Arial"/>
      <family val="2"/>
    </font>
    <font>
      <b/>
      <sz val="24"/>
      <color theme="5" tint="-0.249977111117893"/>
      <name val="Arial"/>
      <family val="2"/>
    </font>
    <font>
      <b/>
      <sz val="20"/>
      <color theme="7" tint="-0.24997711111789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F0D9"/>
      </patternFill>
    </fill>
    <fill>
      <patternFill patternType="solid">
        <fgColor rgb="FFD0CE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3" fillId="0" borderId="0"/>
  </cellStyleXfs>
  <cellXfs count="188">
    <xf numFmtId="0" fontId="0" fillId="0" borderId="0" xfId="0"/>
    <xf numFmtId="0" fontId="2" fillId="2" borderId="1" xfId="3" applyFont="1" applyFill="1" applyBorder="1" applyAlignment="1">
      <alignment horizontal="centerContinuous" vertical="distributed"/>
    </xf>
    <xf numFmtId="0" fontId="2" fillId="2" borderId="2" xfId="3" applyFont="1" applyFill="1" applyBorder="1" applyAlignment="1">
      <alignment horizontal="centerContinuous" vertical="distributed"/>
    </xf>
    <xf numFmtId="0" fontId="2" fillId="2" borderId="3" xfId="3" applyFont="1" applyFill="1" applyBorder="1" applyAlignment="1">
      <alignment horizontal="centerContinuous" vertical="distributed"/>
    </xf>
    <xf numFmtId="0" fontId="3" fillId="2" borderId="4" xfId="3" applyFont="1" applyFill="1" applyBorder="1" applyAlignment="1">
      <alignment horizontal="center" vertical="center"/>
    </xf>
    <xf numFmtId="164" fontId="4" fillId="0" borderId="0" xfId="1" applyFont="1"/>
    <xf numFmtId="0" fontId="1" fillId="0" borderId="0" xfId="3" applyAlignment="1">
      <alignment horizontal="center"/>
    </xf>
    <xf numFmtId="0" fontId="1" fillId="0" borderId="0" xfId="3"/>
    <xf numFmtId="0" fontId="3" fillId="0" borderId="5" xfId="3" applyFont="1" applyBorder="1" applyAlignment="1">
      <alignment horizontal="center" vertical="center"/>
    </xf>
    <xf numFmtId="0" fontId="5" fillId="0" borderId="6" xfId="3" applyFont="1" applyBorder="1" applyAlignment="1" applyProtection="1">
      <alignment horizontal="center"/>
      <protection locked="0"/>
    </xf>
    <xf numFmtId="0" fontId="5" fillId="3" borderId="7" xfId="3" applyFont="1" applyFill="1" applyBorder="1" applyAlignment="1" applyProtection="1">
      <alignment horizontal="left"/>
      <protection locked="0"/>
    </xf>
    <xf numFmtId="9" fontId="5" fillId="3" borderId="8" xfId="2" applyFont="1" applyFill="1" applyBorder="1" applyAlignment="1">
      <alignment horizontal="center"/>
    </xf>
    <xf numFmtId="165" fontId="6" fillId="0" borderId="8" xfId="1" applyNumberFormat="1" applyFont="1" applyFill="1" applyBorder="1" applyAlignment="1">
      <alignment horizontal="center"/>
    </xf>
    <xf numFmtId="165" fontId="7" fillId="0" borderId="8" xfId="1" applyNumberFormat="1" applyFont="1" applyFill="1" applyBorder="1" applyAlignment="1">
      <alignment horizontal="center"/>
    </xf>
    <xf numFmtId="0" fontId="5" fillId="0" borderId="8" xfId="3" applyFont="1" applyBorder="1" applyAlignment="1">
      <alignment horizontal="center"/>
    </xf>
    <xf numFmtId="0" fontId="3" fillId="0" borderId="1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166" fontId="8" fillId="4" borderId="10" xfId="3" applyNumberFormat="1" applyFont="1" applyFill="1" applyBorder="1" applyAlignment="1">
      <alignment horizontal="center" vertical="center" wrapText="1"/>
    </xf>
    <xf numFmtId="0" fontId="5" fillId="5" borderId="9" xfId="3" applyFont="1" applyFill="1" applyBorder="1" applyAlignment="1">
      <alignment horizontal="center" vertical="center" wrapText="1"/>
    </xf>
    <xf numFmtId="0" fontId="5" fillId="6" borderId="11" xfId="3" applyFont="1" applyFill="1" applyBorder="1" applyAlignment="1">
      <alignment horizontal="center" vertical="center" wrapText="1"/>
    </xf>
    <xf numFmtId="166" fontId="1" fillId="7" borderId="3" xfId="3" applyNumberFormat="1" applyFill="1" applyBorder="1" applyAlignment="1">
      <alignment horizontal="center" vertical="center" wrapText="1"/>
    </xf>
    <xf numFmtId="0" fontId="1" fillId="2" borderId="13" xfId="3" applyFill="1" applyBorder="1" applyAlignment="1">
      <alignment horizontal="center"/>
    </xf>
    <xf numFmtId="0" fontId="1" fillId="2" borderId="14" xfId="3" applyFill="1" applyBorder="1"/>
    <xf numFmtId="167" fontId="5" fillId="2" borderId="15" xfId="3" applyNumberFormat="1" applyFont="1" applyFill="1" applyBorder="1" applyAlignment="1">
      <alignment horizontal="center"/>
    </xf>
    <xf numFmtId="0" fontId="5" fillId="2" borderId="15" xfId="3" applyFont="1" applyFill="1" applyBorder="1" applyAlignment="1" applyProtection="1">
      <alignment horizontal="center"/>
      <protection locked="0"/>
    </xf>
    <xf numFmtId="167" fontId="5" fillId="2" borderId="16" xfId="3" applyNumberFormat="1" applyFont="1" applyFill="1" applyBorder="1" applyAlignment="1">
      <alignment horizontal="center"/>
    </xf>
    <xf numFmtId="167" fontId="1" fillId="2" borderId="16" xfId="3" applyNumberFormat="1" applyFill="1" applyBorder="1" applyAlignment="1">
      <alignment horizontal="center"/>
    </xf>
    <xf numFmtId="164" fontId="1" fillId="0" borderId="0" xfId="1" applyFont="1" applyAlignment="1">
      <alignment horizontal="center"/>
    </xf>
    <xf numFmtId="0" fontId="1" fillId="0" borderId="18" xfId="3" applyBorder="1" applyAlignment="1">
      <alignment horizontal="center"/>
    </xf>
    <xf numFmtId="167" fontId="5" fillId="0" borderId="19" xfId="3" applyNumberFormat="1" applyFont="1" applyBorder="1" applyAlignment="1">
      <alignment horizontal="center"/>
    </xf>
    <xf numFmtId="0" fontId="5" fillId="0" borderId="19" xfId="3" applyFont="1" applyBorder="1" applyAlignment="1" applyProtection="1">
      <alignment horizontal="center"/>
      <protection locked="0"/>
    </xf>
    <xf numFmtId="167" fontId="5" fillId="0" borderId="20" xfId="3" applyNumberFormat="1" applyFont="1" applyBorder="1" applyAlignment="1">
      <alignment horizontal="center"/>
    </xf>
    <xf numFmtId="167" fontId="1" fillId="0" borderId="20" xfId="3" applyNumberFormat="1" applyBorder="1" applyAlignment="1">
      <alignment horizontal="center"/>
    </xf>
    <xf numFmtId="0" fontId="1" fillId="2" borderId="18" xfId="3" applyFill="1" applyBorder="1" applyAlignment="1">
      <alignment horizontal="center"/>
    </xf>
    <xf numFmtId="0" fontId="1" fillId="2" borderId="0" xfId="3" applyFill="1"/>
    <xf numFmtId="167" fontId="5" fillId="2" borderId="19" xfId="3" applyNumberFormat="1" applyFont="1" applyFill="1" applyBorder="1" applyAlignment="1">
      <alignment horizontal="center"/>
    </xf>
    <xf numFmtId="0" fontId="5" fillId="2" borderId="19" xfId="3" applyFont="1" applyFill="1" applyBorder="1" applyAlignment="1" applyProtection="1">
      <alignment horizontal="center"/>
      <protection locked="0"/>
    </xf>
    <xf numFmtId="167" fontId="5" fillId="2" borderId="20" xfId="3" applyNumberFormat="1" applyFont="1" applyFill="1" applyBorder="1" applyAlignment="1">
      <alignment horizontal="center"/>
    </xf>
    <xf numFmtId="167" fontId="1" fillId="2" borderId="20" xfId="3" applyNumberFormat="1" applyFill="1" applyBorder="1" applyAlignment="1">
      <alignment horizontal="center"/>
    </xf>
    <xf numFmtId="0" fontId="1" fillId="0" borderId="21" xfId="3" applyBorder="1" applyAlignment="1">
      <alignment horizontal="center"/>
    </xf>
    <xf numFmtId="0" fontId="1" fillId="0" borderId="22" xfId="3" applyBorder="1"/>
    <xf numFmtId="0" fontId="1" fillId="2" borderId="21" xfId="3" applyFill="1" applyBorder="1" applyAlignment="1">
      <alignment horizontal="center"/>
    </xf>
    <xf numFmtId="0" fontId="1" fillId="2" borderId="22" xfId="3" applyFill="1" applyBorder="1"/>
    <xf numFmtId="0" fontId="1" fillId="8" borderId="23" xfId="3" applyFill="1" applyBorder="1" applyAlignment="1">
      <alignment horizontal="center"/>
    </xf>
    <xf numFmtId="0" fontId="1" fillId="8" borderId="24" xfId="3" applyFill="1" applyBorder="1"/>
    <xf numFmtId="167" fontId="5" fillId="8" borderId="24" xfId="3" applyNumberFormat="1" applyFont="1" applyFill="1" applyBorder="1" applyAlignment="1">
      <alignment horizontal="center"/>
    </xf>
    <xf numFmtId="0" fontId="5" fillId="8" borderId="24" xfId="3" applyFont="1" applyFill="1" applyBorder="1" applyAlignment="1" applyProtection="1">
      <alignment horizontal="center"/>
      <protection locked="0"/>
    </xf>
    <xf numFmtId="167" fontId="1" fillId="8" borderId="12" xfId="3" applyNumberFormat="1" applyFill="1" applyBorder="1" applyAlignment="1">
      <alignment horizontal="center"/>
    </xf>
    <xf numFmtId="167" fontId="5" fillId="0" borderId="22" xfId="3" applyNumberFormat="1" applyFont="1" applyBorder="1" applyAlignment="1">
      <alignment horizontal="center"/>
    </xf>
    <xf numFmtId="0" fontId="5" fillId="0" borderId="22" xfId="3" applyFont="1" applyBorder="1" applyAlignment="1" applyProtection="1">
      <alignment horizontal="center"/>
      <protection locked="0"/>
    </xf>
    <xf numFmtId="167" fontId="1" fillId="0" borderId="17" xfId="3" applyNumberFormat="1" applyBorder="1" applyAlignment="1">
      <alignment horizontal="center"/>
    </xf>
    <xf numFmtId="0" fontId="1" fillId="8" borderId="21" xfId="3" applyFill="1" applyBorder="1" applyAlignment="1">
      <alignment horizontal="center"/>
    </xf>
    <xf numFmtId="0" fontId="1" fillId="8" borderId="22" xfId="3" applyFill="1" applyBorder="1"/>
    <xf numFmtId="167" fontId="5" fillId="8" borderId="22" xfId="3" applyNumberFormat="1" applyFont="1" applyFill="1" applyBorder="1" applyAlignment="1">
      <alignment horizontal="center"/>
    </xf>
    <xf numFmtId="0" fontId="5" fillId="8" borderId="22" xfId="3" applyFont="1" applyFill="1" applyBorder="1" applyAlignment="1" applyProtection="1">
      <alignment horizontal="center"/>
      <protection locked="0"/>
    </xf>
    <xf numFmtId="167" fontId="1" fillId="8" borderId="17" xfId="3" applyNumberFormat="1" applyFill="1" applyBorder="1" applyAlignment="1">
      <alignment horizontal="center"/>
    </xf>
    <xf numFmtId="0" fontId="1" fillId="0" borderId="5" xfId="3" applyBorder="1" applyAlignment="1">
      <alignment horizontal="center"/>
    </xf>
    <xf numFmtId="0" fontId="1" fillId="0" borderId="25" xfId="3" applyBorder="1"/>
    <xf numFmtId="167" fontId="5" fillId="0" borderId="26" xfId="3" applyNumberFormat="1" applyFont="1" applyBorder="1" applyAlignment="1">
      <alignment horizontal="center"/>
    </xf>
    <xf numFmtId="0" fontId="5" fillId="0" borderId="25" xfId="3" applyFont="1" applyBorder="1" applyAlignment="1" applyProtection="1">
      <alignment horizontal="center"/>
      <protection locked="0"/>
    </xf>
    <xf numFmtId="167" fontId="5" fillId="0" borderId="6" xfId="3" applyNumberFormat="1" applyFont="1" applyBorder="1" applyAlignment="1">
      <alignment horizontal="center"/>
    </xf>
    <xf numFmtId="167" fontId="1" fillId="0" borderId="8" xfId="3" applyNumberFormat="1" applyBorder="1" applyAlignment="1">
      <alignment horizontal="center"/>
    </xf>
    <xf numFmtId="0" fontId="1" fillId="9" borderId="23" xfId="3" applyFill="1" applyBorder="1" applyAlignment="1">
      <alignment horizontal="center"/>
    </xf>
    <xf numFmtId="0" fontId="1" fillId="9" borderId="27" xfId="3" applyFill="1" applyBorder="1"/>
    <xf numFmtId="167" fontId="5" fillId="9" borderId="27" xfId="3" applyNumberFormat="1" applyFont="1" applyFill="1" applyBorder="1" applyAlignment="1">
      <alignment horizontal="center"/>
    </xf>
    <xf numFmtId="0" fontId="5" fillId="9" borderId="27" xfId="3" applyFont="1" applyFill="1" applyBorder="1" applyAlignment="1" applyProtection="1">
      <alignment horizontal="center"/>
      <protection locked="0"/>
    </xf>
    <xf numFmtId="167" fontId="5" fillId="9" borderId="14" xfId="3" applyNumberFormat="1" applyFont="1" applyFill="1" applyBorder="1" applyAlignment="1">
      <alignment horizontal="center"/>
    </xf>
    <xf numFmtId="167" fontId="1" fillId="9" borderId="12" xfId="3" applyNumberFormat="1" applyFill="1" applyBorder="1" applyAlignment="1">
      <alignment horizontal="center"/>
    </xf>
    <xf numFmtId="168" fontId="1" fillId="0" borderId="0" xfId="1" applyNumberFormat="1" applyFont="1" applyAlignment="1">
      <alignment horizontal="center"/>
    </xf>
    <xf numFmtId="0" fontId="1" fillId="0" borderId="28" xfId="3" applyBorder="1"/>
    <xf numFmtId="167" fontId="5" fillId="0" borderId="28" xfId="3" applyNumberFormat="1" applyFont="1" applyBorder="1" applyAlignment="1">
      <alignment horizontal="center"/>
    </xf>
    <xf numFmtId="0" fontId="5" fillId="0" borderId="28" xfId="3" applyFont="1" applyBorder="1" applyAlignment="1" applyProtection="1">
      <alignment horizontal="center"/>
      <protection locked="0"/>
    </xf>
    <xf numFmtId="167" fontId="5" fillId="0" borderId="0" xfId="3" applyNumberFormat="1" applyFont="1" applyAlignment="1">
      <alignment horizontal="center"/>
    </xf>
    <xf numFmtId="0" fontId="1" fillId="9" borderId="21" xfId="3" applyFill="1" applyBorder="1" applyAlignment="1">
      <alignment horizontal="center"/>
    </xf>
    <xf numFmtId="0" fontId="1" fillId="9" borderId="28" xfId="3" applyFill="1" applyBorder="1"/>
    <xf numFmtId="167" fontId="5" fillId="9" borderId="28" xfId="3" applyNumberFormat="1" applyFont="1" applyFill="1" applyBorder="1" applyAlignment="1">
      <alignment horizontal="center"/>
    </xf>
    <xf numFmtId="0" fontId="5" fillId="9" borderId="28" xfId="3" applyFont="1" applyFill="1" applyBorder="1" applyAlignment="1" applyProtection="1">
      <alignment horizontal="center"/>
      <protection locked="0"/>
    </xf>
    <xf numFmtId="167" fontId="5" fillId="9" borderId="0" xfId="3" applyNumberFormat="1" applyFont="1" applyFill="1" applyAlignment="1">
      <alignment horizontal="center"/>
    </xf>
    <xf numFmtId="167" fontId="1" fillId="9" borderId="17" xfId="3" applyNumberFormat="1" applyFill="1" applyBorder="1" applyAlignment="1">
      <alignment horizontal="center"/>
    </xf>
    <xf numFmtId="167" fontId="5" fillId="0" borderId="25" xfId="3" applyNumberFormat="1" applyFont="1" applyBorder="1" applyAlignment="1">
      <alignment horizontal="center"/>
    </xf>
    <xf numFmtId="0" fontId="1" fillId="9" borderId="5" xfId="3" applyFill="1" applyBorder="1" applyAlignment="1">
      <alignment horizontal="center"/>
    </xf>
    <xf numFmtId="0" fontId="1" fillId="9" borderId="25" xfId="3" applyFill="1" applyBorder="1"/>
    <xf numFmtId="167" fontId="5" fillId="9" borderId="25" xfId="3" applyNumberFormat="1" applyFont="1" applyFill="1" applyBorder="1" applyAlignment="1">
      <alignment horizontal="center"/>
    </xf>
    <xf numFmtId="0" fontId="5" fillId="9" borderId="25" xfId="3" applyFont="1" applyFill="1" applyBorder="1" applyAlignment="1" applyProtection="1">
      <alignment horizontal="center"/>
      <protection locked="0"/>
    </xf>
    <xf numFmtId="167" fontId="5" fillId="9" borderId="6" xfId="3" applyNumberFormat="1" applyFont="1" applyFill="1" applyBorder="1" applyAlignment="1">
      <alignment horizontal="center"/>
    </xf>
    <xf numFmtId="167" fontId="1" fillId="9" borderId="8" xfId="3" applyNumberFormat="1" applyFill="1" applyBorder="1" applyAlignment="1">
      <alignment horizontal="center"/>
    </xf>
    <xf numFmtId="0" fontId="1" fillId="0" borderId="23" xfId="3" applyBorder="1" applyAlignment="1">
      <alignment horizontal="center"/>
    </xf>
    <xf numFmtId="0" fontId="1" fillId="0" borderId="27" xfId="3" applyBorder="1"/>
    <xf numFmtId="167" fontId="5" fillId="0" borderId="27" xfId="3" applyNumberFormat="1" applyFont="1" applyBorder="1" applyAlignment="1">
      <alignment horizontal="center"/>
    </xf>
    <xf numFmtId="0" fontId="5" fillId="0" borderId="27" xfId="3" applyFont="1" applyBorder="1" applyAlignment="1" applyProtection="1">
      <alignment horizontal="center"/>
      <protection locked="0"/>
    </xf>
    <xf numFmtId="167" fontId="5" fillId="0" borderId="14" xfId="3" applyNumberFormat="1" applyFont="1" applyBorder="1" applyAlignment="1">
      <alignment horizontal="center"/>
    </xf>
    <xf numFmtId="167" fontId="1" fillId="0" borderId="12" xfId="3" applyNumberFormat="1" applyBorder="1" applyAlignment="1">
      <alignment horizontal="center"/>
    </xf>
    <xf numFmtId="0" fontId="1" fillId="0" borderId="17" xfId="3" applyBorder="1" applyAlignment="1">
      <alignment horizontal="center"/>
    </xf>
    <xf numFmtId="0" fontId="1" fillId="9" borderId="8" xfId="3" applyFill="1" applyBorder="1" applyAlignment="1">
      <alignment horizontal="center"/>
    </xf>
    <xf numFmtId="0" fontId="1" fillId="0" borderId="12" xfId="3" applyBorder="1" applyAlignment="1">
      <alignment horizontal="center"/>
    </xf>
    <xf numFmtId="0" fontId="1" fillId="9" borderId="17" xfId="3" applyFill="1" applyBorder="1" applyAlignment="1">
      <alignment horizontal="center"/>
    </xf>
    <xf numFmtId="0" fontId="1" fillId="10" borderId="23" xfId="3" applyFill="1" applyBorder="1" applyAlignment="1">
      <alignment horizontal="center"/>
    </xf>
    <xf numFmtId="0" fontId="1" fillId="10" borderId="27" xfId="3" applyFill="1" applyBorder="1"/>
    <xf numFmtId="167" fontId="5" fillId="10" borderId="27" xfId="3" applyNumberFormat="1" applyFont="1" applyFill="1" applyBorder="1" applyAlignment="1">
      <alignment horizontal="center"/>
    </xf>
    <xf numFmtId="0" fontId="5" fillId="10" borderId="27" xfId="3" applyFont="1" applyFill="1" applyBorder="1" applyAlignment="1" applyProtection="1">
      <alignment horizontal="center"/>
      <protection locked="0"/>
    </xf>
    <xf numFmtId="167" fontId="5" fillId="10" borderId="14" xfId="3" applyNumberFormat="1" applyFont="1" applyFill="1" applyBorder="1" applyAlignment="1">
      <alignment horizontal="center"/>
    </xf>
    <xf numFmtId="167" fontId="1" fillId="10" borderId="12" xfId="3" applyNumberFormat="1" applyFill="1" applyBorder="1" applyAlignment="1">
      <alignment horizontal="center"/>
    </xf>
    <xf numFmtId="0" fontId="1" fillId="10" borderId="21" xfId="3" applyFill="1" applyBorder="1" applyAlignment="1">
      <alignment horizontal="center"/>
    </xf>
    <xf numFmtId="0" fontId="1" fillId="10" borderId="28" xfId="3" applyFill="1" applyBorder="1"/>
    <xf numFmtId="167" fontId="5" fillId="10" borderId="28" xfId="3" applyNumberFormat="1" applyFont="1" applyFill="1" applyBorder="1" applyAlignment="1">
      <alignment horizontal="center"/>
    </xf>
    <xf numFmtId="0" fontId="5" fillId="10" borderId="28" xfId="3" applyFont="1" applyFill="1" applyBorder="1" applyAlignment="1" applyProtection="1">
      <alignment horizontal="center"/>
      <protection locked="0"/>
    </xf>
    <xf numFmtId="167" fontId="5" fillId="10" borderId="0" xfId="3" applyNumberFormat="1" applyFont="1" applyFill="1" applyAlignment="1">
      <alignment horizontal="center"/>
    </xf>
    <xf numFmtId="167" fontId="1" fillId="10" borderId="17" xfId="3" applyNumberFormat="1" applyFill="1" applyBorder="1" applyAlignment="1">
      <alignment horizontal="center"/>
    </xf>
    <xf numFmtId="0" fontId="14" fillId="0" borderId="0" xfId="4" applyFont="1" applyAlignment="1">
      <alignment horizontal="center"/>
    </xf>
    <xf numFmtId="0" fontId="15" fillId="0" borderId="0" xfId="0" applyFont="1" applyAlignment="1" applyProtection="1">
      <alignment horizontal="center"/>
      <protection locked="0"/>
    </xf>
    <xf numFmtId="0" fontId="1" fillId="11" borderId="21" xfId="3" applyFill="1" applyBorder="1" applyAlignment="1">
      <alignment horizontal="center"/>
    </xf>
    <xf numFmtId="0" fontId="1" fillId="11" borderId="28" xfId="3" applyFill="1" applyBorder="1"/>
    <xf numFmtId="167" fontId="5" fillId="11" borderId="28" xfId="3" applyNumberFormat="1" applyFont="1" applyFill="1" applyBorder="1" applyAlignment="1">
      <alignment horizontal="center"/>
    </xf>
    <xf numFmtId="0" fontId="5" fillId="11" borderId="28" xfId="3" applyFont="1" applyFill="1" applyBorder="1" applyAlignment="1" applyProtection="1">
      <alignment horizontal="center"/>
      <protection locked="0"/>
    </xf>
    <xf numFmtId="167" fontId="5" fillId="11" borderId="0" xfId="3" applyNumberFormat="1" applyFont="1" applyFill="1" applyAlignment="1">
      <alignment horizontal="center"/>
    </xf>
    <xf numFmtId="167" fontId="1" fillId="11" borderId="17" xfId="3" applyNumberFormat="1" applyFill="1" applyBorder="1" applyAlignment="1">
      <alignment horizontal="center"/>
    </xf>
    <xf numFmtId="0" fontId="1" fillId="0" borderId="25" xfId="3" applyBorder="1" applyAlignment="1">
      <alignment horizontal="center"/>
    </xf>
    <xf numFmtId="0" fontId="1" fillId="0" borderId="6" xfId="3" applyBorder="1" applyAlignment="1">
      <alignment horizontal="center"/>
    </xf>
    <xf numFmtId="0" fontId="1" fillId="0" borderId="8" xfId="3" applyBorder="1" applyAlignment="1">
      <alignment horizontal="center"/>
    </xf>
    <xf numFmtId="164" fontId="4" fillId="0" borderId="0" xfId="1" applyFont="1" applyAlignment="1">
      <alignment horizontal="center"/>
    </xf>
    <xf numFmtId="0" fontId="1" fillId="12" borderId="23" xfId="3" applyFill="1" applyBorder="1" applyAlignment="1">
      <alignment horizontal="center"/>
    </xf>
    <xf numFmtId="0" fontId="1" fillId="12" borderId="27" xfId="3" applyFill="1" applyBorder="1"/>
    <xf numFmtId="167" fontId="5" fillId="12" borderId="27" xfId="3" applyNumberFormat="1" applyFont="1" applyFill="1" applyBorder="1" applyAlignment="1">
      <alignment horizontal="center"/>
    </xf>
    <xf numFmtId="0" fontId="5" fillId="12" borderId="27" xfId="3" applyFont="1" applyFill="1" applyBorder="1" applyAlignment="1" applyProtection="1">
      <alignment horizontal="center"/>
      <protection locked="0"/>
    </xf>
    <xf numFmtId="167" fontId="5" fillId="12" borderId="14" xfId="3" applyNumberFormat="1" applyFont="1" applyFill="1" applyBorder="1" applyAlignment="1">
      <alignment horizontal="center"/>
    </xf>
    <xf numFmtId="167" fontId="1" fillId="12" borderId="12" xfId="3" applyNumberFormat="1" applyFill="1" applyBorder="1" applyAlignment="1">
      <alignment horizontal="center"/>
    </xf>
    <xf numFmtId="0" fontId="1" fillId="12" borderId="21" xfId="3" applyFill="1" applyBorder="1" applyAlignment="1">
      <alignment horizontal="center"/>
    </xf>
    <xf numFmtId="0" fontId="1" fillId="12" borderId="28" xfId="3" applyFill="1" applyBorder="1"/>
    <xf numFmtId="167" fontId="5" fillId="12" borderId="28" xfId="3" applyNumberFormat="1" applyFont="1" applyFill="1" applyBorder="1" applyAlignment="1">
      <alignment horizontal="center"/>
    </xf>
    <xf numFmtId="0" fontId="5" fillId="12" borderId="28" xfId="3" applyFont="1" applyFill="1" applyBorder="1" applyAlignment="1" applyProtection="1">
      <alignment horizontal="center"/>
      <protection locked="0"/>
    </xf>
    <xf numFmtId="167" fontId="5" fillId="12" borderId="0" xfId="3" applyNumberFormat="1" applyFont="1" applyFill="1" applyAlignment="1">
      <alignment horizontal="center"/>
    </xf>
    <xf numFmtId="167" fontId="1" fillId="12" borderId="17" xfId="3" applyNumberFormat="1" applyFill="1" applyBorder="1" applyAlignment="1">
      <alignment horizontal="center"/>
    </xf>
    <xf numFmtId="0" fontId="1" fillId="13" borderId="23" xfId="3" applyFill="1" applyBorder="1" applyAlignment="1">
      <alignment horizontal="center"/>
    </xf>
    <xf numFmtId="0" fontId="1" fillId="13" borderId="27" xfId="3" applyFill="1" applyBorder="1"/>
    <xf numFmtId="167" fontId="5" fillId="13" borderId="27" xfId="3" applyNumberFormat="1" applyFont="1" applyFill="1" applyBorder="1" applyAlignment="1">
      <alignment horizontal="center"/>
    </xf>
    <xf numFmtId="0" fontId="5" fillId="13" borderId="27" xfId="3" applyFont="1" applyFill="1" applyBorder="1" applyAlignment="1" applyProtection="1">
      <alignment horizontal="center"/>
      <protection locked="0"/>
    </xf>
    <xf numFmtId="167" fontId="5" fillId="13" borderId="14" xfId="3" applyNumberFormat="1" applyFont="1" applyFill="1" applyBorder="1" applyAlignment="1">
      <alignment horizontal="center"/>
    </xf>
    <xf numFmtId="167" fontId="1" fillId="13" borderId="12" xfId="3" applyNumberFormat="1" applyFill="1" applyBorder="1" applyAlignment="1">
      <alignment horizontal="center"/>
    </xf>
    <xf numFmtId="0" fontId="1" fillId="13" borderId="21" xfId="3" applyFill="1" applyBorder="1" applyAlignment="1">
      <alignment horizontal="center"/>
    </xf>
    <xf numFmtId="0" fontId="1" fillId="13" borderId="28" xfId="3" applyFill="1" applyBorder="1"/>
    <xf numFmtId="167" fontId="5" fillId="13" borderId="28" xfId="3" applyNumberFormat="1" applyFont="1" applyFill="1" applyBorder="1" applyAlignment="1">
      <alignment horizontal="center"/>
    </xf>
    <xf numFmtId="0" fontId="5" fillId="13" borderId="28" xfId="3" applyFont="1" applyFill="1" applyBorder="1" applyAlignment="1" applyProtection="1">
      <alignment horizontal="center"/>
      <protection locked="0"/>
    </xf>
    <xf numFmtId="167" fontId="5" fillId="13" borderId="0" xfId="3" applyNumberFormat="1" applyFont="1" applyFill="1" applyAlignment="1">
      <alignment horizontal="center"/>
    </xf>
    <xf numFmtId="167" fontId="1" fillId="13" borderId="17" xfId="3" applyNumberFormat="1" applyFill="1" applyBorder="1" applyAlignment="1">
      <alignment horizontal="center"/>
    </xf>
    <xf numFmtId="0" fontId="1" fillId="0" borderId="0" xfId="3" applyAlignment="1">
      <alignment horizontal="left"/>
    </xf>
    <xf numFmtId="0" fontId="1" fillId="5" borderId="23" xfId="3" applyFill="1" applyBorder="1" applyAlignment="1">
      <alignment horizontal="center"/>
    </xf>
    <xf numFmtId="0" fontId="1" fillId="5" borderId="24" xfId="3" applyFill="1" applyBorder="1"/>
    <xf numFmtId="167" fontId="5" fillId="5" borderId="24" xfId="3" applyNumberFormat="1" applyFont="1" applyFill="1" applyBorder="1" applyAlignment="1">
      <alignment horizontal="center"/>
    </xf>
    <xf numFmtId="0" fontId="5" fillId="5" borderId="24" xfId="3" applyFont="1" applyFill="1" applyBorder="1" applyAlignment="1" applyProtection="1">
      <alignment horizontal="center"/>
      <protection locked="0"/>
    </xf>
    <xf numFmtId="167" fontId="5" fillId="5" borderId="29" xfId="3" applyNumberFormat="1" applyFont="1" applyFill="1" applyBorder="1" applyAlignment="1">
      <alignment horizontal="center"/>
    </xf>
    <xf numFmtId="167" fontId="1" fillId="5" borderId="29" xfId="3" applyNumberFormat="1" applyFill="1" applyBorder="1" applyAlignment="1">
      <alignment horizontal="center"/>
    </xf>
    <xf numFmtId="169" fontId="1" fillId="0" borderId="22" xfId="3" applyNumberFormat="1" applyBorder="1"/>
    <xf numFmtId="167" fontId="5" fillId="0" borderId="30" xfId="3" applyNumberFormat="1" applyFont="1" applyBorder="1" applyAlignment="1">
      <alignment horizontal="center"/>
    </xf>
    <xf numFmtId="167" fontId="1" fillId="0" borderId="30" xfId="3" applyNumberFormat="1" applyBorder="1" applyAlignment="1">
      <alignment horizontal="center"/>
    </xf>
    <xf numFmtId="0" fontId="1" fillId="5" borderId="21" xfId="3" applyFill="1" applyBorder="1" applyAlignment="1">
      <alignment horizontal="center"/>
    </xf>
    <xf numFmtId="0" fontId="1" fillId="5" borderId="22" xfId="3" applyFill="1" applyBorder="1"/>
    <xf numFmtId="167" fontId="5" fillId="5" borderId="22" xfId="3" applyNumberFormat="1" applyFont="1" applyFill="1" applyBorder="1" applyAlignment="1">
      <alignment horizontal="center"/>
    </xf>
    <xf numFmtId="0" fontId="5" fillId="5" borderId="22" xfId="3" applyFont="1" applyFill="1" applyBorder="1" applyAlignment="1" applyProtection="1">
      <alignment horizontal="center"/>
      <protection locked="0"/>
    </xf>
    <xf numFmtId="167" fontId="5" fillId="5" borderId="30" xfId="3" applyNumberFormat="1" applyFont="1" applyFill="1" applyBorder="1" applyAlignment="1">
      <alignment horizontal="center"/>
    </xf>
    <xf numFmtId="167" fontId="1" fillId="5" borderId="30" xfId="3" applyNumberFormat="1" applyFill="1" applyBorder="1" applyAlignment="1">
      <alignment horizontal="center"/>
    </xf>
    <xf numFmtId="169" fontId="1" fillId="0" borderId="26" xfId="3" applyNumberFormat="1" applyBorder="1"/>
    <xf numFmtId="0" fontId="5" fillId="0" borderId="26" xfId="3" applyFont="1" applyBorder="1" applyAlignment="1" applyProtection="1">
      <alignment horizontal="center"/>
      <protection locked="0"/>
    </xf>
    <xf numFmtId="167" fontId="5" fillId="0" borderId="31" xfId="3" applyNumberFormat="1" applyFont="1" applyBorder="1" applyAlignment="1">
      <alignment horizontal="center"/>
    </xf>
    <xf numFmtId="167" fontId="1" fillId="0" borderId="31" xfId="3" applyNumberFormat="1" applyBorder="1" applyAlignment="1">
      <alignment horizontal="center"/>
    </xf>
    <xf numFmtId="0" fontId="3" fillId="0" borderId="0" xfId="3" applyFont="1" applyAlignment="1">
      <alignment horizontal="center" vertical="center"/>
    </xf>
    <xf numFmtId="0" fontId="18" fillId="0" borderId="12" xfId="3" applyFont="1" applyBorder="1" applyAlignment="1" applyProtection="1">
      <alignment horizontal="center" vertical="center" textRotation="90"/>
      <protection locked="0"/>
    </xf>
    <xf numFmtId="0" fontId="18" fillId="0" borderId="17" xfId="3" applyFont="1" applyBorder="1" applyAlignment="1" applyProtection="1">
      <alignment horizontal="center" vertical="center" textRotation="90"/>
      <protection locked="0"/>
    </xf>
    <xf numFmtId="0" fontId="18" fillId="0" borderId="8" xfId="3" applyFont="1" applyBorder="1" applyAlignment="1" applyProtection="1">
      <alignment horizontal="center" vertical="center" textRotation="90"/>
      <protection locked="0"/>
    </xf>
    <xf numFmtId="0" fontId="19" fillId="0" borderId="12" xfId="3" applyFont="1" applyBorder="1" applyAlignment="1">
      <alignment horizontal="center" vertical="center" textRotation="90"/>
    </xf>
    <xf numFmtId="0" fontId="19" fillId="0" borderId="17" xfId="3" applyFont="1" applyBorder="1" applyAlignment="1">
      <alignment horizontal="center" vertical="center" textRotation="90"/>
    </xf>
    <xf numFmtId="0" fontId="19" fillId="0" borderId="8" xfId="3" applyFont="1" applyBorder="1" applyAlignment="1">
      <alignment horizontal="center" vertical="center" textRotation="90"/>
    </xf>
    <xf numFmtId="0" fontId="9" fillId="0" borderId="12" xfId="3" applyFont="1" applyBorder="1" applyAlignment="1" applyProtection="1">
      <alignment horizontal="center" vertical="center" textRotation="90"/>
      <protection locked="0"/>
    </xf>
    <xf numFmtId="0" fontId="9" fillId="0" borderId="17" xfId="3" applyFont="1" applyBorder="1" applyAlignment="1" applyProtection="1">
      <alignment horizontal="center" vertical="center" textRotation="90"/>
      <protection locked="0"/>
    </xf>
    <xf numFmtId="0" fontId="10" fillId="0" borderId="12" xfId="3" applyFont="1" applyBorder="1" applyAlignment="1" applyProtection="1">
      <alignment horizontal="center" vertical="center"/>
      <protection locked="0"/>
    </xf>
    <xf numFmtId="0" fontId="10" fillId="0" borderId="17" xfId="3" applyFont="1" applyBorder="1" applyAlignment="1" applyProtection="1">
      <alignment horizontal="center" vertical="center"/>
      <protection locked="0"/>
    </xf>
    <xf numFmtId="0" fontId="10" fillId="0" borderId="8" xfId="3" applyFont="1" applyBorder="1" applyAlignment="1" applyProtection="1">
      <alignment horizontal="center" vertical="center"/>
      <protection locked="0"/>
    </xf>
    <xf numFmtId="0" fontId="11" fillId="0" borderId="12" xfId="3" applyFont="1" applyBorder="1" applyAlignment="1" applyProtection="1">
      <alignment horizontal="center" vertical="center" textRotation="90"/>
      <protection locked="0"/>
    </xf>
    <xf numFmtId="0" fontId="11" fillId="0" borderId="17" xfId="3" applyFont="1" applyBorder="1" applyAlignment="1" applyProtection="1">
      <alignment horizontal="center" vertical="center" textRotation="90"/>
      <protection locked="0"/>
    </xf>
    <xf numFmtId="0" fontId="11" fillId="0" borderId="8" xfId="3" applyFont="1" applyBorder="1" applyAlignment="1" applyProtection="1">
      <alignment horizontal="center" vertical="center" textRotation="90"/>
      <protection locked="0"/>
    </xf>
    <xf numFmtId="0" fontId="12" fillId="0" borderId="12" xfId="3" applyFont="1" applyBorder="1" applyAlignment="1" applyProtection="1">
      <alignment horizontal="center" vertical="center" textRotation="90"/>
      <protection locked="0"/>
    </xf>
    <xf numFmtId="0" fontId="12" fillId="0" borderId="17" xfId="3" applyFont="1" applyBorder="1" applyAlignment="1" applyProtection="1">
      <alignment horizontal="center" vertical="center" textRotation="90"/>
      <protection locked="0"/>
    </xf>
    <xf numFmtId="0" fontId="12" fillId="0" borderId="8" xfId="3" applyFont="1" applyBorder="1" applyAlignment="1" applyProtection="1">
      <alignment horizontal="center" vertical="center" textRotation="90"/>
      <protection locked="0"/>
    </xf>
    <xf numFmtId="0" fontId="16" fillId="0" borderId="12" xfId="3" applyFont="1" applyBorder="1" applyAlignment="1" applyProtection="1">
      <alignment horizontal="center" vertical="center" textRotation="90"/>
      <protection locked="0"/>
    </xf>
    <xf numFmtId="0" fontId="16" fillId="0" borderId="17" xfId="3" applyFont="1" applyBorder="1" applyAlignment="1" applyProtection="1">
      <alignment horizontal="center" vertical="center" textRotation="90"/>
      <protection locked="0"/>
    </xf>
    <xf numFmtId="0" fontId="16" fillId="0" borderId="8" xfId="3" applyFont="1" applyBorder="1" applyAlignment="1" applyProtection="1">
      <alignment horizontal="center" vertical="center" textRotation="90"/>
      <protection locked="0"/>
    </xf>
    <xf numFmtId="0" fontId="17" fillId="0" borderId="17" xfId="3" applyFont="1" applyBorder="1" applyAlignment="1" applyProtection="1">
      <alignment horizontal="center" vertical="center" textRotation="90"/>
      <protection locked="0"/>
    </xf>
    <xf numFmtId="0" fontId="17" fillId="0" borderId="8" xfId="3" applyFont="1" applyBorder="1" applyAlignment="1" applyProtection="1">
      <alignment horizontal="center" vertical="center" textRotation="90"/>
      <protection locked="0"/>
    </xf>
  </cellXfs>
  <cellStyles count="5">
    <cellStyle name="Milliers" xfId="1" builtinId="3"/>
    <cellStyle name="Normal" xfId="0" builtinId="0"/>
    <cellStyle name="Normal 2 2" xfId="4" xr:uid="{25C2C032-3240-469E-988E-7B8FA655C2A9}"/>
    <cellStyle name="Normal 4" xfId="3" xr:uid="{9DE28122-5401-4CCE-9B8C-5DF884069183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dep\kDrive\Administration\GestionStock-Prix\FDS_ListePrix%202025.xlsm" TargetMode="External"/><Relationship Id="rId1" Type="http://schemas.openxmlformats.org/officeDocument/2006/relationships/externalLinkPath" Target="/Users/jhdep/kDrive/Administration/GestionStock-Prix/FDS_ListePrix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ner price list 2024"/>
      <sheetName val="Official Price list"/>
      <sheetName val="Client"/>
      <sheetName val="Adresse "/>
      <sheetName val="Kit 2023"/>
      <sheetName val="PRF"/>
      <sheetName val="Fournisseur"/>
      <sheetName val="PrixList"/>
      <sheetName val="DB"/>
      <sheetName val="Invoice"/>
      <sheetName val="Invoice (5)"/>
      <sheetName val="US HSC"/>
      <sheetName val="Invoice (2)"/>
      <sheetName val="US Form"/>
      <sheetName val="Montage"/>
      <sheetName val="PrixList 2023"/>
      <sheetName val="Dog Agility Kit"/>
      <sheetName val="Zoho - 2023"/>
    </sheetNames>
    <sheetDataSet>
      <sheetData sheetId="0"/>
      <sheetData sheetId="1"/>
      <sheetData sheetId="2">
        <row r="1">
          <cell r="B1" t="str">
            <v>Nom</v>
          </cell>
        </row>
        <row r="2">
          <cell r="B2" t="str">
            <v>SPORTS TIMING SYSTEMS LIMITED</v>
          </cell>
        </row>
        <row r="3">
          <cell r="B3" t="str">
            <v>ProElite Endurance Sports Private Limited</v>
          </cell>
        </row>
        <row r="4">
          <cell r="B4" t="str">
            <v>Srinivas Ramesh</v>
          </cell>
        </row>
        <row r="5">
          <cell r="B5" t="str">
            <v>Chrono Consult</v>
          </cell>
        </row>
        <row r="6">
          <cell r="B6" t="str">
            <v>Event Timing</v>
          </cell>
        </row>
        <row r="7">
          <cell r="B7" t="str">
            <v>ISS Ltd</v>
          </cell>
        </row>
        <row r="8">
          <cell r="B8" t="str">
            <v xml:space="preserve">RR HOLDINGS LLC </v>
          </cell>
        </row>
        <row r="9">
          <cell r="B9" t="str">
            <v>PHOENIX SPORT TECHNOLOGY</v>
          </cell>
        </row>
        <row r="10">
          <cell r="B10" t="str">
            <v>Richard sports services</v>
          </cell>
        </row>
        <row r="11">
          <cell r="B11" t="str">
            <v>BSC Co., Ltd</v>
          </cell>
        </row>
        <row r="15">
          <cell r="B15" t="str">
            <v>La Guenette</v>
          </cell>
        </row>
        <row r="20">
          <cell r="B20" t="str">
            <v>Equi-Score</v>
          </cell>
        </row>
        <row r="21">
          <cell r="B21" t="str">
            <v>Phono Sound (Pty) Ltd</v>
          </cell>
        </row>
        <row r="22">
          <cell r="B22" t="str">
            <v xml:space="preserve">S-Time </v>
          </cell>
        </row>
        <row r="23">
          <cell r="B23" t="str">
            <v>Peter Locke</v>
          </cell>
        </row>
        <row r="24">
          <cell r="B24" t="str">
            <v>Resultatservice Sverige AB</v>
          </cell>
        </row>
        <row r="25">
          <cell r="B25" t="str">
            <v xml:space="preserve">TOP Driving AB </v>
          </cell>
        </row>
        <row r="26">
          <cell r="B26" t="str">
            <v>Steven Strupp</v>
          </cell>
        </row>
        <row r="27">
          <cell r="B27" t="str">
            <v>Natur'Element sàrl</v>
          </cell>
        </row>
        <row r="28">
          <cell r="B28" t="str">
            <v>Van Oers Group</v>
          </cell>
        </row>
        <row r="29">
          <cell r="B29" t="str">
            <v>SportCHRONO</v>
          </cell>
        </row>
        <row r="30">
          <cell r="B30" t="str">
            <v>Abdulsamad Albosta</v>
          </cell>
        </row>
        <row r="31">
          <cell r="B31" t="str">
            <v>Bert Kanora</v>
          </cell>
        </row>
        <row r="32">
          <cell r="B32" t="str">
            <v>Good timing</v>
          </cell>
        </row>
        <row r="33">
          <cell r="B33" t="str">
            <v>Webscore</v>
          </cell>
        </row>
        <row r="34">
          <cell r="B34" t="str">
            <v>Francesco Cattaneo</v>
          </cell>
        </row>
        <row r="35">
          <cell r="B35" t="str">
            <v>Chemsol Group SRL</v>
          </cell>
        </row>
        <row r="36">
          <cell r="B36" t="str">
            <v>Christoph Wenger</v>
          </cell>
        </row>
        <row r="37">
          <cell r="B37" t="str">
            <v> Driving Camp</v>
          </cell>
        </row>
        <row r="38">
          <cell r="B38" t="str">
            <v>Halkin Stables</v>
          </cell>
        </row>
        <row r="39">
          <cell r="B39" t="str">
            <v>Grupawrc</v>
          </cell>
        </row>
        <row r="40">
          <cell r="B40" t="str">
            <v>Sjaak van Hal</v>
          </cell>
        </row>
        <row r="41">
          <cell r="B41" t="str">
            <v>Pro-Vision</v>
          </cell>
        </row>
        <row r="42">
          <cell r="B42" t="str">
            <v>ASU “Racing Tribe”</v>
          </cell>
        </row>
        <row r="43">
          <cell r="B43" t="str">
            <v>P. T Data</v>
          </cell>
        </row>
        <row r="44">
          <cell r="B44" t="str">
            <v>European Sport Events</v>
          </cell>
        </row>
        <row r="45">
          <cell r="B45" t="str">
            <v>Albert Salikhov</v>
          </cell>
        </row>
        <row r="46">
          <cell r="B46" t="str">
            <v>Activités de télémark</v>
          </cell>
        </row>
        <row r="47">
          <cell r="B47" t="str">
            <v>TripleSdata Pty Ltd</v>
          </cell>
        </row>
        <row r="48">
          <cell r="B48" t="str">
            <v>HROV vzw</v>
          </cell>
        </row>
        <row r="49">
          <cell r="B49" t="str">
            <v>ChronoTrack SRL  </v>
          </cell>
        </row>
        <row r="50">
          <cell r="B50" t="str">
            <v>FIA Suisse</v>
          </cell>
        </row>
        <row r="51">
          <cell r="B51" t="str">
            <v>Giron Thyon-Veysonnaz</v>
          </cell>
        </row>
        <row r="52">
          <cell r="B52" t="str">
            <v>MAXX Moto GmbH</v>
          </cell>
        </row>
        <row r="53">
          <cell r="B53" t="str">
            <v>Imagine Studio d.o.o</v>
          </cell>
        </row>
        <row r="54">
          <cell r="B54" t="str">
            <v>Cool Dog</v>
          </cell>
        </row>
        <row r="55">
          <cell r="B55" t="str">
            <v>Videocom Stancel s.r.o</v>
          </cell>
        </row>
        <row r="56">
          <cell r="B56" t="str">
            <v>Back 40 Events</v>
          </cell>
        </row>
        <row r="57">
          <cell r="B57" t="str">
            <v>CronoBandeira</v>
          </cell>
        </row>
        <row r="58">
          <cell r="B58" t="str">
            <v>Anbro AB</v>
          </cell>
        </row>
        <row r="59">
          <cell r="B59" t="str">
            <v>Seven MMD GmbH</v>
          </cell>
        </row>
        <row r="60">
          <cell r="B60" t="str">
            <v>PMT Technologies LLC</v>
          </cell>
        </row>
        <row r="61">
          <cell r="B61" t="str">
            <v>Hackerman Consulting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59FB-41D3-4C6E-936D-3F6AAE066AD3}">
  <sheetPr>
    <pageSetUpPr fitToPage="1"/>
  </sheetPr>
  <dimension ref="A1:L16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7" sqref="K17"/>
    </sheetView>
  </sheetViews>
  <sheetFormatPr baseColWidth="10" defaultColWidth="11.42578125" defaultRowHeight="18" x14ac:dyDescent="0.2"/>
  <cols>
    <col min="1" max="1" width="19.140625" style="165" customWidth="1"/>
    <col min="2" max="2" width="18.7109375" style="6" customWidth="1"/>
    <col min="3" max="3" width="48.28515625" style="145" customWidth="1"/>
    <col min="4" max="6" width="16.5703125" style="145" customWidth="1"/>
    <col min="7" max="7" width="19.7109375" style="145" bestFit="1" customWidth="1"/>
    <col min="8" max="8" width="11.42578125" style="5"/>
    <col min="9" max="9" width="11.42578125" style="6"/>
    <col min="10" max="16384" width="11.42578125" style="7"/>
  </cols>
  <sheetData>
    <row r="1" spans="1:9" ht="27" thickBot="1" x14ac:dyDescent="0.25">
      <c r="A1" s="1" t="s">
        <v>0</v>
      </c>
      <c r="B1" s="2"/>
      <c r="C1" s="2"/>
      <c r="D1" s="2"/>
      <c r="E1" s="2"/>
      <c r="F1" s="3"/>
      <c r="G1" s="4" t="s">
        <v>1</v>
      </c>
    </row>
    <row r="2" spans="1:9" ht="18.75" thickBot="1" x14ac:dyDescent="0.3">
      <c r="A2" s="8"/>
      <c r="B2" s="9" t="s">
        <v>2</v>
      </c>
      <c r="C2" s="10"/>
      <c r="D2" s="11">
        <v>0</v>
      </c>
      <c r="E2" s="12">
        <f>SUMPRODUCT(D4:D161,E4:E161)</f>
        <v>0</v>
      </c>
      <c r="F2" s="13">
        <f>SUM(F4:F161)*(1-D2)</f>
        <v>0</v>
      </c>
      <c r="G2" s="14" t="s">
        <v>3</v>
      </c>
    </row>
    <row r="3" spans="1:9" ht="26.25" customHeight="1" thickBot="1" x14ac:dyDescent="0.25">
      <c r="A3" s="15"/>
      <c r="B3" s="16" t="s">
        <v>4</v>
      </c>
      <c r="C3" s="17" t="s">
        <v>5</v>
      </c>
      <c r="D3" s="18" t="s">
        <v>6</v>
      </c>
      <c r="E3" s="19" t="s">
        <v>7</v>
      </c>
      <c r="F3" s="20" t="s">
        <v>8</v>
      </c>
      <c r="G3" s="21" t="s">
        <v>9</v>
      </c>
      <c r="I3" s="6" t="s">
        <v>10</v>
      </c>
    </row>
    <row r="4" spans="1:9" s="5" customFormat="1" ht="12" customHeight="1" x14ac:dyDescent="0.2">
      <c r="A4" s="172" t="s">
        <v>11</v>
      </c>
      <c r="B4" s="22" t="s">
        <v>12</v>
      </c>
      <c r="C4" s="23" t="s">
        <v>168</v>
      </c>
      <c r="D4" s="24">
        <v>1419</v>
      </c>
      <c r="E4" s="25"/>
      <c r="F4" s="26" t="str">
        <f>IF(E4&gt;0,(D4*E4),"")</f>
        <v/>
      </c>
      <c r="G4" s="27" t="s">
        <v>308</v>
      </c>
      <c r="I4" s="28" t="s">
        <v>13</v>
      </c>
    </row>
    <row r="5" spans="1:9" s="5" customFormat="1" ht="12" customHeight="1" x14ac:dyDescent="0.2">
      <c r="A5" s="173"/>
      <c r="B5" s="29" t="s">
        <v>14</v>
      </c>
      <c r="C5" s="7" t="s">
        <v>169</v>
      </c>
      <c r="D5" s="30">
        <v>1355</v>
      </c>
      <c r="E5" s="31"/>
      <c r="F5" s="32" t="str">
        <f t="shared" ref="F5:F75" si="0">IF(E5&gt;0,(D5*E5),"")</f>
        <v/>
      </c>
      <c r="G5" s="33" t="s">
        <v>308</v>
      </c>
      <c r="I5" s="28" t="s">
        <v>13</v>
      </c>
    </row>
    <row r="6" spans="1:9" s="5" customFormat="1" ht="12" customHeight="1" x14ac:dyDescent="0.2">
      <c r="A6" s="173"/>
      <c r="B6" s="34" t="s">
        <v>15</v>
      </c>
      <c r="C6" s="35" t="s">
        <v>170</v>
      </c>
      <c r="D6" s="36">
        <v>2207</v>
      </c>
      <c r="E6" s="37"/>
      <c r="F6" s="38" t="str">
        <f t="shared" si="0"/>
        <v/>
      </c>
      <c r="G6" s="39" t="s">
        <v>308</v>
      </c>
      <c r="I6" s="28" t="s">
        <v>13</v>
      </c>
    </row>
    <row r="7" spans="1:9" s="5" customFormat="1" ht="12" customHeight="1" x14ac:dyDescent="0.2">
      <c r="A7" s="173"/>
      <c r="B7" s="29" t="s">
        <v>16</v>
      </c>
      <c r="C7" s="7" t="s">
        <v>171</v>
      </c>
      <c r="D7" s="30">
        <v>1815</v>
      </c>
      <c r="E7" s="31"/>
      <c r="F7" s="32" t="str">
        <f t="shared" si="0"/>
        <v/>
      </c>
      <c r="G7" s="33" t="s">
        <v>308</v>
      </c>
      <c r="I7" s="28" t="s">
        <v>13</v>
      </c>
    </row>
    <row r="8" spans="1:9" s="5" customFormat="1" ht="12" customHeight="1" x14ac:dyDescent="0.2">
      <c r="A8" s="173"/>
      <c r="B8" s="34" t="s">
        <v>17</v>
      </c>
      <c r="C8" s="35" t="s">
        <v>172</v>
      </c>
      <c r="D8" s="36">
        <v>1155</v>
      </c>
      <c r="E8" s="37"/>
      <c r="F8" s="38" t="str">
        <f t="shared" si="0"/>
        <v/>
      </c>
      <c r="G8" s="39" t="s">
        <v>308</v>
      </c>
      <c r="I8" s="28" t="s">
        <v>13</v>
      </c>
    </row>
    <row r="9" spans="1:9" s="5" customFormat="1" ht="12" customHeight="1" x14ac:dyDescent="0.2">
      <c r="A9" s="173"/>
      <c r="B9" s="40" t="s">
        <v>18</v>
      </c>
      <c r="C9" s="41" t="s">
        <v>173</v>
      </c>
      <c r="D9" s="30">
        <v>2039</v>
      </c>
      <c r="E9" s="31"/>
      <c r="F9" s="32" t="str">
        <f t="shared" si="0"/>
        <v/>
      </c>
      <c r="G9" s="33" t="s">
        <v>308</v>
      </c>
      <c r="I9" s="28" t="s">
        <v>13</v>
      </c>
    </row>
    <row r="10" spans="1:9" s="5" customFormat="1" ht="12" customHeight="1" x14ac:dyDescent="0.2">
      <c r="A10" s="173"/>
      <c r="B10" s="42" t="s">
        <v>19</v>
      </c>
      <c r="C10" s="43" t="s">
        <v>174</v>
      </c>
      <c r="D10" s="36">
        <v>1565</v>
      </c>
      <c r="E10" s="37"/>
      <c r="F10" s="38" t="str">
        <f t="shared" si="0"/>
        <v/>
      </c>
      <c r="G10" s="39" t="s">
        <v>308</v>
      </c>
      <c r="I10" s="28" t="s">
        <v>13</v>
      </c>
    </row>
    <row r="11" spans="1:9" s="5" customFormat="1" ht="12" customHeight="1" x14ac:dyDescent="0.2">
      <c r="A11" s="173"/>
      <c r="B11" s="40" t="s">
        <v>20</v>
      </c>
      <c r="C11" s="41" t="s">
        <v>175</v>
      </c>
      <c r="D11" s="30">
        <v>1880</v>
      </c>
      <c r="E11" s="31"/>
      <c r="F11" s="32" t="str">
        <f t="shared" si="0"/>
        <v/>
      </c>
      <c r="G11" s="33" t="s">
        <v>308</v>
      </c>
      <c r="I11" s="28" t="s">
        <v>13</v>
      </c>
    </row>
    <row r="12" spans="1:9" s="5" customFormat="1" ht="12" customHeight="1" x14ac:dyDescent="0.2">
      <c r="A12" s="173"/>
      <c r="B12" s="42" t="s">
        <v>21</v>
      </c>
      <c r="C12" s="43" t="s">
        <v>176</v>
      </c>
      <c r="D12" s="36">
        <v>1208</v>
      </c>
      <c r="E12" s="37"/>
      <c r="F12" s="38" t="str">
        <f t="shared" si="0"/>
        <v/>
      </c>
      <c r="G12" s="39" t="s">
        <v>308</v>
      </c>
      <c r="I12" s="28" t="s">
        <v>13</v>
      </c>
    </row>
    <row r="13" spans="1:9" s="5" customFormat="1" ht="12" customHeight="1" x14ac:dyDescent="0.2">
      <c r="A13" s="173"/>
      <c r="B13" s="40" t="s">
        <v>22</v>
      </c>
      <c r="C13" s="41" t="s">
        <v>334</v>
      </c>
      <c r="D13" s="30">
        <v>1950</v>
      </c>
      <c r="E13" s="31"/>
      <c r="F13" s="32" t="str">
        <f>IF(E13&gt;0,(D13*E13),"")</f>
        <v/>
      </c>
      <c r="G13" s="33" t="s">
        <v>308</v>
      </c>
      <c r="I13" s="28"/>
    </row>
    <row r="14" spans="1:9" s="5" customFormat="1" ht="12" customHeight="1" x14ac:dyDescent="0.2">
      <c r="A14" s="173"/>
      <c r="B14" s="42" t="s">
        <v>23</v>
      </c>
      <c r="C14" s="43" t="s">
        <v>335</v>
      </c>
      <c r="D14" s="36">
        <v>1850</v>
      </c>
      <c r="E14" s="37"/>
      <c r="F14" s="38" t="str">
        <f>IF(E14&gt;0,(D14*E14),"")</f>
        <v/>
      </c>
      <c r="G14" s="39" t="s">
        <v>308</v>
      </c>
      <c r="I14" s="28"/>
    </row>
    <row r="15" spans="1:9" s="5" customFormat="1" ht="12" customHeight="1" thickBot="1" x14ac:dyDescent="0.25">
      <c r="A15" s="173"/>
      <c r="B15" s="40"/>
      <c r="C15" s="41"/>
      <c r="D15" s="30"/>
      <c r="E15" s="31"/>
      <c r="F15" s="32"/>
      <c r="G15" s="33"/>
      <c r="I15" s="28"/>
    </row>
    <row r="16" spans="1:9" ht="12" customHeight="1" x14ac:dyDescent="0.2">
      <c r="A16" s="174" t="s">
        <v>24</v>
      </c>
      <c r="B16" s="44" t="s">
        <v>25</v>
      </c>
      <c r="C16" s="45" t="s">
        <v>177</v>
      </c>
      <c r="D16" s="46">
        <v>410</v>
      </c>
      <c r="E16" s="47"/>
      <c r="F16" s="46" t="str">
        <f t="shared" si="0"/>
        <v/>
      </c>
      <c r="G16" s="48" t="s">
        <v>309</v>
      </c>
      <c r="I16" s="6" t="s">
        <v>13</v>
      </c>
    </row>
    <row r="17" spans="1:9" ht="12" customHeight="1" x14ac:dyDescent="0.2">
      <c r="A17" s="175"/>
      <c r="B17" s="40" t="s">
        <v>26</v>
      </c>
      <c r="C17" s="41" t="s">
        <v>178</v>
      </c>
      <c r="D17" s="49">
        <v>510</v>
      </c>
      <c r="E17" s="50"/>
      <c r="F17" s="49" t="str">
        <f t="shared" si="0"/>
        <v/>
      </c>
      <c r="G17" s="51" t="s">
        <v>309</v>
      </c>
      <c r="I17" s="6" t="s">
        <v>13</v>
      </c>
    </row>
    <row r="18" spans="1:9" ht="12" customHeight="1" x14ac:dyDescent="0.2">
      <c r="A18" s="175"/>
      <c r="B18" s="52" t="s">
        <v>27</v>
      </c>
      <c r="C18" s="53" t="s">
        <v>179</v>
      </c>
      <c r="D18" s="54">
        <v>609</v>
      </c>
      <c r="E18" s="55"/>
      <c r="F18" s="54" t="str">
        <f t="shared" si="0"/>
        <v/>
      </c>
      <c r="G18" s="56" t="s">
        <v>309</v>
      </c>
      <c r="I18" s="6" t="s">
        <v>13</v>
      </c>
    </row>
    <row r="19" spans="1:9" ht="12" customHeight="1" thickBot="1" x14ac:dyDescent="0.25">
      <c r="A19" s="176"/>
      <c r="B19" s="57"/>
      <c r="C19" s="58"/>
      <c r="D19" s="59"/>
      <c r="E19" s="60"/>
      <c r="F19" s="61"/>
      <c r="G19" s="62"/>
    </row>
    <row r="20" spans="1:9" ht="12" customHeight="1" x14ac:dyDescent="0.2">
      <c r="A20" s="177" t="s">
        <v>28</v>
      </c>
      <c r="B20" s="63" t="s">
        <v>29</v>
      </c>
      <c r="C20" s="64" t="s">
        <v>180</v>
      </c>
      <c r="D20" s="65">
        <v>415</v>
      </c>
      <c r="E20" s="66"/>
      <c r="F20" s="67" t="str">
        <f t="shared" si="0"/>
        <v/>
      </c>
      <c r="G20" s="68" t="s">
        <v>310</v>
      </c>
      <c r="I20" s="69" t="s">
        <v>13</v>
      </c>
    </row>
    <row r="21" spans="1:9" ht="12" customHeight="1" x14ac:dyDescent="0.2">
      <c r="A21" s="178"/>
      <c r="B21" s="40" t="s">
        <v>30</v>
      </c>
      <c r="C21" s="70" t="s">
        <v>181</v>
      </c>
      <c r="D21" s="71">
        <v>1080</v>
      </c>
      <c r="E21" s="72"/>
      <c r="F21" s="73" t="str">
        <f t="shared" si="0"/>
        <v/>
      </c>
      <c r="G21" s="51" t="s">
        <v>310</v>
      </c>
      <c r="I21" s="69" t="s">
        <v>13</v>
      </c>
    </row>
    <row r="22" spans="1:9" ht="12" customHeight="1" x14ac:dyDescent="0.2">
      <c r="A22" s="178"/>
      <c r="B22" s="74" t="s">
        <v>31</v>
      </c>
      <c r="C22" s="75" t="s">
        <v>182</v>
      </c>
      <c r="D22" s="76">
        <v>2130</v>
      </c>
      <c r="E22" s="77"/>
      <c r="F22" s="78" t="str">
        <f t="shared" si="0"/>
        <v/>
      </c>
      <c r="G22" s="79" t="s">
        <v>310</v>
      </c>
      <c r="I22" s="69" t="s">
        <v>13</v>
      </c>
    </row>
    <row r="23" spans="1:9" ht="12" customHeight="1" thickBot="1" x14ac:dyDescent="0.25">
      <c r="A23" s="178"/>
      <c r="B23" s="57" t="s">
        <v>32</v>
      </c>
      <c r="C23" s="58" t="s">
        <v>183</v>
      </c>
      <c r="D23" s="80">
        <v>4295</v>
      </c>
      <c r="E23" s="60"/>
      <c r="F23" s="61" t="str">
        <f t="shared" si="0"/>
        <v/>
      </c>
      <c r="G23" s="62" t="s">
        <v>310</v>
      </c>
      <c r="I23" s="69" t="s">
        <v>13</v>
      </c>
    </row>
    <row r="24" spans="1:9" ht="12" customHeight="1" x14ac:dyDescent="0.2">
      <c r="A24" s="178"/>
      <c r="B24" s="63" t="s">
        <v>33</v>
      </c>
      <c r="C24" s="64" t="s">
        <v>184</v>
      </c>
      <c r="D24" s="65">
        <v>1320</v>
      </c>
      <c r="E24" s="66"/>
      <c r="F24" s="67" t="str">
        <f t="shared" si="0"/>
        <v/>
      </c>
      <c r="G24" s="68" t="s">
        <v>310</v>
      </c>
      <c r="I24" s="69" t="s">
        <v>13</v>
      </c>
    </row>
    <row r="25" spans="1:9" ht="12" customHeight="1" x14ac:dyDescent="0.2">
      <c r="A25" s="178"/>
      <c r="B25" s="40" t="s">
        <v>34</v>
      </c>
      <c r="C25" s="70" t="s">
        <v>185</v>
      </c>
      <c r="D25" s="71">
        <v>2460</v>
      </c>
      <c r="E25" s="72"/>
      <c r="F25" s="73" t="str">
        <f t="shared" si="0"/>
        <v/>
      </c>
      <c r="G25" s="51" t="s">
        <v>310</v>
      </c>
      <c r="I25" s="69" t="s">
        <v>13</v>
      </c>
    </row>
    <row r="26" spans="1:9" ht="12" customHeight="1" x14ac:dyDescent="0.2">
      <c r="A26" s="178"/>
      <c r="B26" s="74" t="s">
        <v>35</v>
      </c>
      <c r="C26" s="75" t="s">
        <v>186</v>
      </c>
      <c r="D26" s="76">
        <v>2480</v>
      </c>
      <c r="E26" s="77"/>
      <c r="F26" s="78" t="str">
        <f t="shared" si="0"/>
        <v/>
      </c>
      <c r="G26" s="79" t="s">
        <v>310</v>
      </c>
      <c r="I26" s="69" t="s">
        <v>13</v>
      </c>
    </row>
    <row r="27" spans="1:9" ht="12" customHeight="1" x14ac:dyDescent="0.2">
      <c r="A27" s="178"/>
      <c r="B27" s="40" t="s">
        <v>36</v>
      </c>
      <c r="C27" s="70" t="s">
        <v>187</v>
      </c>
      <c r="D27" s="71">
        <v>4850</v>
      </c>
      <c r="E27" s="72"/>
      <c r="F27" s="73" t="str">
        <f t="shared" si="0"/>
        <v/>
      </c>
      <c r="G27" s="51" t="s">
        <v>310</v>
      </c>
      <c r="I27" s="69" t="s">
        <v>13</v>
      </c>
    </row>
    <row r="28" spans="1:9" ht="12" customHeight="1" thickBot="1" x14ac:dyDescent="0.25">
      <c r="A28" s="178"/>
      <c r="B28" s="81" t="s">
        <v>37</v>
      </c>
      <c r="C28" s="82" t="s">
        <v>188</v>
      </c>
      <c r="D28" s="83">
        <v>2690</v>
      </c>
      <c r="E28" s="84"/>
      <c r="F28" s="85" t="str">
        <f t="shared" si="0"/>
        <v/>
      </c>
      <c r="G28" s="86" t="s">
        <v>310</v>
      </c>
      <c r="I28" s="69"/>
    </row>
    <row r="29" spans="1:9" ht="12" customHeight="1" x14ac:dyDescent="0.2">
      <c r="A29" s="178"/>
      <c r="B29" s="87" t="s">
        <v>38</v>
      </c>
      <c r="C29" s="88" t="s">
        <v>189</v>
      </c>
      <c r="D29" s="89">
        <v>588</v>
      </c>
      <c r="E29" s="90"/>
      <c r="F29" s="91" t="str">
        <f t="shared" si="0"/>
        <v/>
      </c>
      <c r="G29" s="92" t="s">
        <v>310</v>
      </c>
      <c r="I29" s="69" t="s">
        <v>13</v>
      </c>
    </row>
    <row r="30" spans="1:9" ht="12" customHeight="1" x14ac:dyDescent="0.2">
      <c r="A30" s="178"/>
      <c r="B30" s="74" t="s">
        <v>39</v>
      </c>
      <c r="C30" s="75" t="s">
        <v>190</v>
      </c>
      <c r="D30" s="76">
        <v>1500</v>
      </c>
      <c r="E30" s="77"/>
      <c r="F30" s="78" t="str">
        <f t="shared" si="0"/>
        <v/>
      </c>
      <c r="G30" s="79" t="s">
        <v>310</v>
      </c>
      <c r="I30" s="69" t="s">
        <v>13</v>
      </c>
    </row>
    <row r="31" spans="1:9" ht="12" customHeight="1" x14ac:dyDescent="0.2">
      <c r="A31" s="178"/>
      <c r="B31" s="40" t="s">
        <v>40</v>
      </c>
      <c r="C31" s="70" t="s">
        <v>191</v>
      </c>
      <c r="D31" s="71">
        <v>5030</v>
      </c>
      <c r="E31" s="72"/>
      <c r="F31" s="73" t="str">
        <f t="shared" si="0"/>
        <v/>
      </c>
      <c r="G31" s="51" t="s">
        <v>310</v>
      </c>
      <c r="I31" s="69"/>
    </row>
    <row r="32" spans="1:9" ht="12" customHeight="1" thickBot="1" x14ac:dyDescent="0.25">
      <c r="A32" s="178"/>
      <c r="B32" s="81" t="s">
        <v>41</v>
      </c>
      <c r="C32" s="82" t="s">
        <v>192</v>
      </c>
      <c r="D32" s="83">
        <v>2660</v>
      </c>
      <c r="E32" s="84"/>
      <c r="F32" s="85" t="str">
        <f t="shared" si="0"/>
        <v/>
      </c>
      <c r="G32" s="86" t="s">
        <v>311</v>
      </c>
      <c r="I32" s="69"/>
    </row>
    <row r="33" spans="1:11" ht="12" customHeight="1" x14ac:dyDescent="0.2">
      <c r="A33" s="178"/>
      <c r="B33" s="87" t="s">
        <v>42</v>
      </c>
      <c r="C33" s="88" t="s">
        <v>193</v>
      </c>
      <c r="D33" s="89">
        <v>654</v>
      </c>
      <c r="E33" s="90"/>
      <c r="F33" s="91" t="str">
        <f t="shared" si="0"/>
        <v/>
      </c>
      <c r="G33" s="92" t="s">
        <v>312</v>
      </c>
      <c r="I33" s="69"/>
    </row>
    <row r="34" spans="1:11" ht="12" customHeight="1" thickBot="1" x14ac:dyDescent="0.25">
      <c r="A34" s="178"/>
      <c r="B34" s="81" t="s">
        <v>43</v>
      </c>
      <c r="C34" s="82" t="s">
        <v>194</v>
      </c>
      <c r="D34" s="83">
        <v>1410</v>
      </c>
      <c r="E34" s="84"/>
      <c r="F34" s="85" t="str">
        <f t="shared" si="0"/>
        <v/>
      </c>
      <c r="G34" s="86" t="s">
        <v>310</v>
      </c>
      <c r="I34" s="69" t="s">
        <v>13</v>
      </c>
    </row>
    <row r="35" spans="1:11" ht="12" customHeight="1" x14ac:dyDescent="0.2">
      <c r="A35" s="178"/>
      <c r="B35" s="87" t="s">
        <v>44</v>
      </c>
      <c r="C35" s="88" t="s">
        <v>195</v>
      </c>
      <c r="D35" s="89">
        <v>700</v>
      </c>
      <c r="E35" s="90"/>
      <c r="F35" s="91" t="str">
        <f t="shared" si="0"/>
        <v/>
      </c>
      <c r="G35" s="92" t="s">
        <v>309</v>
      </c>
      <c r="I35" s="69" t="s">
        <v>13</v>
      </c>
    </row>
    <row r="36" spans="1:11" ht="12" customHeight="1" x14ac:dyDescent="0.2">
      <c r="A36" s="178"/>
      <c r="B36" s="74" t="s">
        <v>45</v>
      </c>
      <c r="C36" s="75" t="s">
        <v>196</v>
      </c>
      <c r="D36" s="76">
        <v>1170</v>
      </c>
      <c r="E36" s="77"/>
      <c r="F36" s="78" t="str">
        <f t="shared" si="0"/>
        <v/>
      </c>
      <c r="G36" s="79" t="s">
        <v>310</v>
      </c>
      <c r="I36" s="69" t="s">
        <v>13</v>
      </c>
    </row>
    <row r="37" spans="1:11" ht="12" customHeight="1" x14ac:dyDescent="0.2">
      <c r="A37" s="178"/>
      <c r="B37" s="40" t="s">
        <v>46</v>
      </c>
      <c r="C37" s="70" t="s">
        <v>197</v>
      </c>
      <c r="D37" s="71">
        <v>2095</v>
      </c>
      <c r="E37" s="72"/>
      <c r="F37" s="73" t="str">
        <f t="shared" si="0"/>
        <v/>
      </c>
      <c r="G37" s="93" t="s">
        <v>310</v>
      </c>
      <c r="I37" s="69" t="s">
        <v>13</v>
      </c>
    </row>
    <row r="38" spans="1:11" ht="12" customHeight="1" thickBot="1" x14ac:dyDescent="0.25">
      <c r="A38" s="178"/>
      <c r="B38" s="81" t="s">
        <v>47</v>
      </c>
      <c r="C38" s="82" t="s">
        <v>198</v>
      </c>
      <c r="D38" s="83">
        <v>1570</v>
      </c>
      <c r="E38" s="84"/>
      <c r="F38" s="85" t="str">
        <f t="shared" si="0"/>
        <v/>
      </c>
      <c r="G38" s="94" t="s">
        <v>310</v>
      </c>
      <c r="I38" s="69" t="s">
        <v>13</v>
      </c>
    </row>
    <row r="39" spans="1:11" ht="12" customHeight="1" x14ac:dyDescent="0.2">
      <c r="A39" s="178"/>
      <c r="B39" s="87" t="s">
        <v>48</v>
      </c>
      <c r="C39" s="88" t="s">
        <v>199</v>
      </c>
      <c r="D39" s="89">
        <v>1850</v>
      </c>
      <c r="E39" s="90"/>
      <c r="F39" s="91"/>
      <c r="G39" s="95" t="s">
        <v>310</v>
      </c>
      <c r="I39" s="69"/>
    </row>
    <row r="40" spans="1:11" ht="12" customHeight="1" thickBot="1" x14ac:dyDescent="0.25">
      <c r="A40" s="178"/>
      <c r="B40" s="74" t="s">
        <v>49</v>
      </c>
      <c r="C40" s="75" t="s">
        <v>200</v>
      </c>
      <c r="D40" s="76">
        <v>2340</v>
      </c>
      <c r="E40" s="77"/>
      <c r="F40" s="78"/>
      <c r="G40" s="96" t="s">
        <v>310</v>
      </c>
      <c r="I40" s="69"/>
    </row>
    <row r="41" spans="1:11" ht="12" customHeight="1" x14ac:dyDescent="0.2">
      <c r="A41" s="178"/>
      <c r="B41" s="87" t="s">
        <v>50</v>
      </c>
      <c r="C41" s="88" t="s">
        <v>201</v>
      </c>
      <c r="D41" s="89">
        <v>2590</v>
      </c>
      <c r="E41" s="90"/>
      <c r="F41" s="91" t="str">
        <f t="shared" si="0"/>
        <v/>
      </c>
      <c r="G41" s="95" t="s">
        <v>308</v>
      </c>
      <c r="I41" s="69"/>
    </row>
    <row r="42" spans="1:11" ht="12" customHeight="1" x14ac:dyDescent="0.2">
      <c r="A42" s="178"/>
      <c r="B42" s="74" t="s">
        <v>51</v>
      </c>
      <c r="C42" s="75" t="s">
        <v>202</v>
      </c>
      <c r="D42" s="76">
        <v>199</v>
      </c>
      <c r="E42" s="77"/>
      <c r="F42" s="78" t="str">
        <f>IF(E42&gt;0,(D42*E42),"")</f>
        <v/>
      </c>
      <c r="G42" s="96" t="s">
        <v>313</v>
      </c>
      <c r="I42" s="69"/>
    </row>
    <row r="43" spans="1:11" ht="12" customHeight="1" x14ac:dyDescent="0.2">
      <c r="A43" s="178"/>
      <c r="B43" s="40" t="s">
        <v>52</v>
      </c>
      <c r="C43" s="70" t="s">
        <v>203</v>
      </c>
      <c r="D43" s="71">
        <v>3580</v>
      </c>
      <c r="E43" s="72"/>
      <c r="F43" s="73" t="str">
        <f t="shared" si="0"/>
        <v/>
      </c>
      <c r="G43" s="93" t="s">
        <v>311</v>
      </c>
      <c r="I43" s="69"/>
    </row>
    <row r="44" spans="1:11" ht="12" customHeight="1" x14ac:dyDescent="0.2">
      <c r="A44" s="178"/>
      <c r="B44" s="74" t="s">
        <v>53</v>
      </c>
      <c r="C44" s="75" t="s">
        <v>204</v>
      </c>
      <c r="D44" s="76">
        <v>35</v>
      </c>
      <c r="E44" s="77"/>
      <c r="F44" s="78" t="str">
        <f t="shared" si="0"/>
        <v/>
      </c>
      <c r="G44" s="96" t="s">
        <v>314</v>
      </c>
      <c r="I44" s="69"/>
    </row>
    <row r="45" spans="1:11" ht="12" customHeight="1" x14ac:dyDescent="0.2">
      <c r="A45" s="178"/>
      <c r="B45" s="40" t="s">
        <v>54</v>
      </c>
      <c r="C45" s="70" t="s">
        <v>205</v>
      </c>
      <c r="D45" s="76">
        <v>45</v>
      </c>
      <c r="E45" s="72"/>
      <c r="F45" s="73" t="str">
        <f>IF(E45&gt;0,(D45*E45),"")</f>
        <v/>
      </c>
      <c r="G45" s="93" t="s">
        <v>313</v>
      </c>
      <c r="I45" s="69"/>
    </row>
    <row r="46" spans="1:11" s="5" customFormat="1" ht="12" customHeight="1" x14ac:dyDescent="0.2">
      <c r="A46" s="178"/>
      <c r="B46" s="40" t="s">
        <v>55</v>
      </c>
      <c r="C46" s="70" t="s">
        <v>206</v>
      </c>
      <c r="D46" s="71">
        <v>121</v>
      </c>
      <c r="E46" s="72"/>
      <c r="F46" s="73" t="str">
        <f t="shared" si="0"/>
        <v/>
      </c>
      <c r="G46" s="93" t="s">
        <v>313</v>
      </c>
      <c r="I46" s="28"/>
      <c r="K46" s="7"/>
    </row>
    <row r="47" spans="1:11" ht="12" customHeight="1" x14ac:dyDescent="0.2">
      <c r="A47" s="178"/>
      <c r="B47" s="74" t="s">
        <v>56</v>
      </c>
      <c r="C47" s="75" t="s">
        <v>207</v>
      </c>
      <c r="D47" s="76">
        <v>184</v>
      </c>
      <c r="E47" s="77"/>
      <c r="F47" s="78" t="str">
        <f t="shared" si="0"/>
        <v/>
      </c>
      <c r="G47" s="96" t="s">
        <v>313</v>
      </c>
      <c r="I47" s="69"/>
    </row>
    <row r="48" spans="1:11" ht="12" customHeight="1" x14ac:dyDescent="0.2">
      <c r="A48" s="178"/>
      <c r="B48" s="40" t="s">
        <v>57</v>
      </c>
      <c r="C48" s="70" t="s">
        <v>208</v>
      </c>
      <c r="D48" s="71">
        <v>242</v>
      </c>
      <c r="E48" s="72"/>
      <c r="F48" s="73" t="str">
        <f>IF(E48&gt;0,(D48*E48),"")</f>
        <v/>
      </c>
      <c r="G48" s="93" t="s">
        <v>313</v>
      </c>
      <c r="I48" s="69"/>
    </row>
    <row r="49" spans="1:9" ht="12" customHeight="1" x14ac:dyDescent="0.2">
      <c r="A49" s="178"/>
      <c r="B49" s="74" t="s">
        <v>58</v>
      </c>
      <c r="C49" s="75" t="s">
        <v>209</v>
      </c>
      <c r="D49" s="76">
        <v>199</v>
      </c>
      <c r="E49" s="77"/>
      <c r="F49" s="78" t="str">
        <f>IF(E49&gt;0,(D49*E49),"")</f>
        <v/>
      </c>
      <c r="G49" s="96" t="s">
        <v>313</v>
      </c>
      <c r="I49" s="69"/>
    </row>
    <row r="50" spans="1:9" ht="12" customHeight="1" x14ac:dyDescent="0.2">
      <c r="A50" s="178"/>
      <c r="B50" s="40" t="s">
        <v>59</v>
      </c>
      <c r="C50" s="70" t="s">
        <v>210</v>
      </c>
      <c r="D50" s="71">
        <v>180</v>
      </c>
      <c r="E50" s="72"/>
      <c r="F50" s="73" t="str">
        <f>IF(E50&gt;0,(D50*E50),"")</f>
        <v/>
      </c>
      <c r="G50" s="93">
        <v>8302.2999999999993</v>
      </c>
      <c r="I50" s="69"/>
    </row>
    <row r="51" spans="1:9" ht="12" customHeight="1" x14ac:dyDescent="0.2">
      <c r="A51" s="178"/>
      <c r="B51" s="74" t="s">
        <v>60</v>
      </c>
      <c r="C51" s="75" t="s">
        <v>211</v>
      </c>
      <c r="D51" s="76">
        <v>220</v>
      </c>
      <c r="E51" s="77"/>
      <c r="F51" s="78" t="str">
        <f t="shared" si="0"/>
        <v/>
      </c>
      <c r="G51" s="96">
        <v>8302.2999999999993</v>
      </c>
      <c r="I51" s="69"/>
    </row>
    <row r="52" spans="1:9" ht="12" customHeight="1" x14ac:dyDescent="0.2">
      <c r="A52" s="178"/>
      <c r="B52" s="40" t="s">
        <v>61</v>
      </c>
      <c r="C52" s="70" t="s">
        <v>212</v>
      </c>
      <c r="D52" s="71">
        <v>285</v>
      </c>
      <c r="E52" s="72"/>
      <c r="F52" s="73" t="str">
        <f t="shared" si="0"/>
        <v/>
      </c>
      <c r="G52" s="93" t="s">
        <v>313</v>
      </c>
      <c r="I52" s="69"/>
    </row>
    <row r="53" spans="1:9" ht="12" customHeight="1" x14ac:dyDescent="0.2">
      <c r="A53" s="178"/>
      <c r="B53" s="74" t="s">
        <v>62</v>
      </c>
      <c r="C53" s="75" t="s">
        <v>213</v>
      </c>
      <c r="D53" s="76">
        <v>315</v>
      </c>
      <c r="E53" s="77"/>
      <c r="F53" s="78" t="str">
        <f t="shared" si="0"/>
        <v/>
      </c>
      <c r="G53" s="96" t="s">
        <v>314</v>
      </c>
      <c r="I53" s="69" t="s">
        <v>13</v>
      </c>
    </row>
    <row r="54" spans="1:9" ht="12" customHeight="1" x14ac:dyDescent="0.2">
      <c r="A54" s="178"/>
      <c r="B54" s="40" t="s">
        <v>63</v>
      </c>
      <c r="C54" s="70" t="s">
        <v>214</v>
      </c>
      <c r="D54" s="71">
        <v>400</v>
      </c>
      <c r="E54" s="72"/>
      <c r="F54" s="73" t="str">
        <f>IF(E54&gt;0,(D54*E54),"")</f>
        <v/>
      </c>
      <c r="G54" s="93">
        <v>8302.2999999999993</v>
      </c>
      <c r="I54" s="69"/>
    </row>
    <row r="55" spans="1:9" s="5" customFormat="1" ht="12" customHeight="1" thickBot="1" x14ac:dyDescent="0.25">
      <c r="A55" s="178"/>
      <c r="B55" s="74" t="s">
        <v>64</v>
      </c>
      <c r="C55" s="75" t="s">
        <v>215</v>
      </c>
      <c r="D55" s="76">
        <v>480</v>
      </c>
      <c r="E55" s="77"/>
      <c r="F55" s="78" t="str">
        <f t="shared" ref="F55:F62" si="1">IF(E55&gt;0,(D55*E55),"")</f>
        <v/>
      </c>
      <c r="G55" s="96">
        <v>8302.2999999999993</v>
      </c>
      <c r="I55" s="28"/>
    </row>
    <row r="56" spans="1:9" ht="12" customHeight="1" x14ac:dyDescent="0.2">
      <c r="A56" s="178"/>
      <c r="B56" s="87" t="s">
        <v>65</v>
      </c>
      <c r="C56" s="88" t="s">
        <v>216</v>
      </c>
      <c r="D56" s="89">
        <v>140</v>
      </c>
      <c r="E56" s="90"/>
      <c r="F56" s="91" t="str">
        <f t="shared" si="1"/>
        <v/>
      </c>
      <c r="G56" s="95" t="s">
        <v>315</v>
      </c>
      <c r="I56" s="69" t="s">
        <v>13</v>
      </c>
    </row>
    <row r="57" spans="1:9" ht="12" customHeight="1" x14ac:dyDescent="0.2">
      <c r="A57" s="178"/>
      <c r="B57" s="74" t="s">
        <v>66</v>
      </c>
      <c r="C57" s="75" t="s">
        <v>217</v>
      </c>
      <c r="D57" s="76">
        <v>24</v>
      </c>
      <c r="E57" s="77"/>
      <c r="F57" s="78" t="str">
        <f t="shared" si="1"/>
        <v/>
      </c>
      <c r="G57" s="79" t="s">
        <v>311</v>
      </c>
      <c r="I57" s="69" t="s">
        <v>13</v>
      </c>
    </row>
    <row r="58" spans="1:9" s="5" customFormat="1" ht="12" customHeight="1" x14ac:dyDescent="0.2">
      <c r="A58" s="178"/>
      <c r="B58" s="40" t="s">
        <v>67</v>
      </c>
      <c r="C58" s="70" t="s">
        <v>218</v>
      </c>
      <c r="D58" s="71">
        <v>25</v>
      </c>
      <c r="E58" s="72"/>
      <c r="F58" s="73" t="str">
        <f t="shared" si="1"/>
        <v/>
      </c>
      <c r="G58" s="51" t="s">
        <v>314</v>
      </c>
      <c r="I58" s="28" t="s">
        <v>13</v>
      </c>
    </row>
    <row r="59" spans="1:9" s="5" customFormat="1" ht="12" customHeight="1" x14ac:dyDescent="0.2">
      <c r="A59" s="178"/>
      <c r="B59" s="74" t="s">
        <v>68</v>
      </c>
      <c r="C59" s="75" t="s">
        <v>219</v>
      </c>
      <c r="D59" s="76">
        <v>25</v>
      </c>
      <c r="E59" s="77"/>
      <c r="F59" s="78" t="str">
        <f t="shared" si="1"/>
        <v/>
      </c>
      <c r="G59" s="79" t="s">
        <v>314</v>
      </c>
      <c r="I59" s="28"/>
    </row>
    <row r="60" spans="1:9" ht="12" customHeight="1" x14ac:dyDescent="0.2">
      <c r="A60" s="178"/>
      <c r="B60" s="40" t="s">
        <v>69</v>
      </c>
      <c r="C60" s="70" t="s">
        <v>220</v>
      </c>
      <c r="D60" s="71">
        <v>21</v>
      </c>
      <c r="E60" s="72"/>
      <c r="F60" s="73" t="str">
        <f t="shared" si="1"/>
        <v/>
      </c>
      <c r="G60" s="51" t="s">
        <v>314</v>
      </c>
    </row>
    <row r="61" spans="1:9" ht="12" customHeight="1" x14ac:dyDescent="0.2">
      <c r="A61" s="178"/>
      <c r="B61" s="74" t="s">
        <v>70</v>
      </c>
      <c r="C61" s="75" t="s">
        <v>221</v>
      </c>
      <c r="D61" s="76">
        <v>21</v>
      </c>
      <c r="E61" s="77"/>
      <c r="F61" s="78" t="str">
        <f t="shared" si="1"/>
        <v/>
      </c>
      <c r="G61" s="79" t="s">
        <v>314</v>
      </c>
    </row>
    <row r="62" spans="1:9" s="5" customFormat="1" ht="12" customHeight="1" thickBot="1" x14ac:dyDescent="0.25">
      <c r="A62" s="178"/>
      <c r="B62" s="57" t="s">
        <v>71</v>
      </c>
      <c r="C62" s="58" t="s">
        <v>222</v>
      </c>
      <c r="D62" s="80">
        <v>165</v>
      </c>
      <c r="E62" s="60"/>
      <c r="F62" s="61" t="str">
        <f t="shared" si="1"/>
        <v/>
      </c>
      <c r="G62" s="62" t="s">
        <v>316</v>
      </c>
      <c r="I62" s="28"/>
    </row>
    <row r="63" spans="1:9" ht="12" customHeight="1" thickBot="1" x14ac:dyDescent="0.25">
      <c r="A63" s="179"/>
      <c r="B63" s="57"/>
      <c r="C63" s="58"/>
      <c r="D63" s="59"/>
      <c r="E63" s="60"/>
      <c r="F63" s="61"/>
      <c r="G63" s="62"/>
    </row>
    <row r="64" spans="1:9" ht="12" customHeight="1" x14ac:dyDescent="0.2">
      <c r="A64" s="180" t="s">
        <v>72</v>
      </c>
      <c r="B64" s="97" t="s">
        <v>73</v>
      </c>
      <c r="C64" s="98" t="s">
        <v>223</v>
      </c>
      <c r="D64" s="99">
        <v>158</v>
      </c>
      <c r="E64" s="100"/>
      <c r="F64" s="101" t="str">
        <f t="shared" si="0"/>
        <v/>
      </c>
      <c r="G64" s="102" t="s">
        <v>317</v>
      </c>
      <c r="I64" s="6" t="s">
        <v>13</v>
      </c>
    </row>
    <row r="65" spans="1:12" ht="12" customHeight="1" x14ac:dyDescent="0.2">
      <c r="A65" s="181"/>
      <c r="B65" s="40" t="s">
        <v>74</v>
      </c>
      <c r="C65" s="70" t="s">
        <v>224</v>
      </c>
      <c r="D65" s="71">
        <v>415</v>
      </c>
      <c r="E65" s="72"/>
      <c r="F65" s="73" t="str">
        <f t="shared" si="0"/>
        <v/>
      </c>
      <c r="G65" s="51" t="s">
        <v>318</v>
      </c>
      <c r="I65" s="6" t="s">
        <v>13</v>
      </c>
    </row>
    <row r="66" spans="1:12" ht="12" customHeight="1" x14ac:dyDescent="0.2">
      <c r="A66" s="181"/>
      <c r="B66" s="103" t="s">
        <v>75</v>
      </c>
      <c r="C66" s="104" t="s">
        <v>225</v>
      </c>
      <c r="D66" s="105">
        <v>326</v>
      </c>
      <c r="E66" s="106"/>
      <c r="F66" s="107" t="str">
        <f t="shared" si="0"/>
        <v/>
      </c>
      <c r="G66" s="108" t="s">
        <v>318</v>
      </c>
      <c r="I66" s="6" t="s">
        <v>13</v>
      </c>
    </row>
    <row r="67" spans="1:12" ht="12" customHeight="1" x14ac:dyDescent="0.2">
      <c r="A67" s="181"/>
      <c r="B67" s="40" t="s">
        <v>76</v>
      </c>
      <c r="C67" s="70" t="s">
        <v>226</v>
      </c>
      <c r="D67" s="71">
        <v>305</v>
      </c>
      <c r="E67" s="72"/>
      <c r="F67" s="73" t="str">
        <f t="shared" si="0"/>
        <v/>
      </c>
      <c r="G67" s="51" t="s">
        <v>319</v>
      </c>
      <c r="I67" s="6" t="s">
        <v>13</v>
      </c>
    </row>
    <row r="68" spans="1:12" ht="12" customHeight="1" x14ac:dyDescent="0.2">
      <c r="A68" s="181"/>
      <c r="B68" s="103" t="s">
        <v>77</v>
      </c>
      <c r="C68" s="104" t="s">
        <v>227</v>
      </c>
      <c r="D68" s="105">
        <v>84</v>
      </c>
      <c r="E68" s="106"/>
      <c r="F68" s="107" t="str">
        <f t="shared" si="0"/>
        <v/>
      </c>
      <c r="G68" s="108" t="s">
        <v>320</v>
      </c>
      <c r="I68" s="6" t="s">
        <v>13</v>
      </c>
    </row>
    <row r="69" spans="1:12" ht="12" customHeight="1" x14ac:dyDescent="0.2">
      <c r="A69" s="181"/>
      <c r="B69" s="40" t="s">
        <v>78</v>
      </c>
      <c r="C69" s="70" t="s">
        <v>228</v>
      </c>
      <c r="D69" s="71">
        <v>63</v>
      </c>
      <c r="E69" s="72"/>
      <c r="F69" s="73" t="str">
        <f t="shared" si="0"/>
        <v/>
      </c>
      <c r="G69" s="51" t="s">
        <v>320</v>
      </c>
      <c r="I69" s="6" t="s">
        <v>13</v>
      </c>
    </row>
    <row r="70" spans="1:12" ht="12" customHeight="1" x14ac:dyDescent="0.2">
      <c r="A70" s="181"/>
      <c r="B70" s="103" t="s">
        <v>79</v>
      </c>
      <c r="C70" s="104" t="s">
        <v>229</v>
      </c>
      <c r="D70" s="105">
        <v>431</v>
      </c>
      <c r="E70" s="106"/>
      <c r="F70" s="107" t="str">
        <f t="shared" si="0"/>
        <v/>
      </c>
      <c r="G70" s="108" t="s">
        <v>319</v>
      </c>
      <c r="I70" s="6" t="s">
        <v>13</v>
      </c>
    </row>
    <row r="71" spans="1:12" ht="12" customHeight="1" x14ac:dyDescent="0.25">
      <c r="A71" s="181"/>
      <c r="B71" s="40" t="s">
        <v>80</v>
      </c>
      <c r="C71" s="70" t="s">
        <v>230</v>
      </c>
      <c r="D71" s="71">
        <v>399</v>
      </c>
      <c r="E71" s="72"/>
      <c r="F71" s="73" t="str">
        <f t="shared" si="0"/>
        <v/>
      </c>
      <c r="G71" s="51" t="s">
        <v>319</v>
      </c>
      <c r="I71" s="6" t="s">
        <v>13</v>
      </c>
      <c r="L71" s="109"/>
    </row>
    <row r="72" spans="1:12" ht="12" customHeight="1" x14ac:dyDescent="0.25">
      <c r="A72" s="181"/>
      <c r="B72" s="103" t="s">
        <v>81</v>
      </c>
      <c r="C72" s="104" t="s">
        <v>231</v>
      </c>
      <c r="D72" s="105">
        <v>578</v>
      </c>
      <c r="E72" s="106"/>
      <c r="F72" s="107" t="str">
        <f t="shared" si="0"/>
        <v/>
      </c>
      <c r="G72" s="108" t="s">
        <v>318</v>
      </c>
      <c r="I72" s="6" t="s">
        <v>13</v>
      </c>
      <c r="L72" s="109"/>
    </row>
    <row r="73" spans="1:12" ht="12" customHeight="1" x14ac:dyDescent="0.25">
      <c r="A73" s="181"/>
      <c r="B73" s="40" t="s">
        <v>82</v>
      </c>
      <c r="C73" s="70" t="s">
        <v>232</v>
      </c>
      <c r="D73" s="71">
        <v>578</v>
      </c>
      <c r="E73" s="72"/>
      <c r="F73" s="73" t="str">
        <f t="shared" si="0"/>
        <v/>
      </c>
      <c r="G73" s="51" t="s">
        <v>318</v>
      </c>
      <c r="I73" s="6" t="s">
        <v>13</v>
      </c>
      <c r="L73" s="109"/>
    </row>
    <row r="74" spans="1:12" ht="12" customHeight="1" x14ac:dyDescent="0.2">
      <c r="A74" s="181"/>
      <c r="B74" s="103" t="s">
        <v>83</v>
      </c>
      <c r="C74" s="104" t="s">
        <v>233</v>
      </c>
      <c r="D74" s="105">
        <v>30</v>
      </c>
      <c r="E74" s="106"/>
      <c r="F74" s="107" t="str">
        <f t="shared" si="0"/>
        <v/>
      </c>
      <c r="G74" s="108" t="s">
        <v>321</v>
      </c>
      <c r="I74" s="6" t="s">
        <v>13</v>
      </c>
      <c r="L74" s="110"/>
    </row>
    <row r="75" spans="1:12" s="5" customFormat="1" ht="12" customHeight="1" x14ac:dyDescent="0.2">
      <c r="A75" s="181"/>
      <c r="B75" s="40" t="s">
        <v>84</v>
      </c>
      <c r="C75" s="70" t="s">
        <v>234</v>
      </c>
      <c r="D75" s="71">
        <v>260</v>
      </c>
      <c r="E75" s="72"/>
      <c r="F75" s="73" t="str">
        <f t="shared" si="0"/>
        <v/>
      </c>
      <c r="G75" s="51" t="s">
        <v>312</v>
      </c>
      <c r="I75" s="28" t="s">
        <v>13</v>
      </c>
      <c r="L75" s="110"/>
    </row>
    <row r="76" spans="1:12" s="5" customFormat="1" ht="12" customHeight="1" x14ac:dyDescent="0.2">
      <c r="A76" s="181"/>
      <c r="B76" s="103" t="s">
        <v>85</v>
      </c>
      <c r="C76" s="104" t="s">
        <v>235</v>
      </c>
      <c r="D76" s="105">
        <v>48</v>
      </c>
      <c r="E76" s="106"/>
      <c r="F76" s="107" t="str">
        <f t="shared" ref="F76:F81" si="2">IF(E76&gt;0,(D76*E76),"")</f>
        <v/>
      </c>
      <c r="G76" s="108" t="s">
        <v>322</v>
      </c>
      <c r="I76" s="28" t="s">
        <v>13</v>
      </c>
      <c r="L76" s="110"/>
    </row>
    <row r="77" spans="1:12" s="5" customFormat="1" ht="12" customHeight="1" x14ac:dyDescent="0.2">
      <c r="A77" s="181"/>
      <c r="B77" s="40" t="s">
        <v>86</v>
      </c>
      <c r="C77" s="70" t="s">
        <v>236</v>
      </c>
      <c r="D77" s="71">
        <v>125</v>
      </c>
      <c r="E77" s="72"/>
      <c r="F77" s="73" t="str">
        <f t="shared" si="2"/>
        <v/>
      </c>
      <c r="G77" s="51" t="s">
        <v>311</v>
      </c>
      <c r="I77" s="28" t="s">
        <v>13</v>
      </c>
      <c r="L77" s="110"/>
    </row>
    <row r="78" spans="1:12" s="5" customFormat="1" ht="12" customHeight="1" x14ac:dyDescent="0.2">
      <c r="A78" s="181"/>
      <c r="B78" s="103" t="s">
        <v>87</v>
      </c>
      <c r="C78" s="104" t="s">
        <v>237</v>
      </c>
      <c r="D78" s="105">
        <v>99</v>
      </c>
      <c r="E78" s="106"/>
      <c r="F78" s="107" t="str">
        <f t="shared" si="2"/>
        <v/>
      </c>
      <c r="G78" s="108" t="s">
        <v>323</v>
      </c>
      <c r="I78" s="28" t="s">
        <v>13</v>
      </c>
      <c r="L78" s="110"/>
    </row>
    <row r="79" spans="1:12" s="5" customFormat="1" ht="12" customHeight="1" x14ac:dyDescent="0.2">
      <c r="A79" s="181"/>
      <c r="B79" s="103" t="s">
        <v>88</v>
      </c>
      <c r="C79" s="104" t="s">
        <v>238</v>
      </c>
      <c r="D79" s="105">
        <v>780</v>
      </c>
      <c r="E79" s="106"/>
      <c r="F79" s="107" t="str">
        <f t="shared" si="2"/>
        <v/>
      </c>
      <c r="G79" s="108" t="s">
        <v>318</v>
      </c>
      <c r="I79" s="28"/>
      <c r="L79" s="110"/>
    </row>
    <row r="80" spans="1:12" s="5" customFormat="1" ht="12" customHeight="1" x14ac:dyDescent="0.2">
      <c r="A80" s="181"/>
      <c r="B80" s="40" t="s">
        <v>89</v>
      </c>
      <c r="C80" s="70" t="s">
        <v>239</v>
      </c>
      <c r="D80" s="71">
        <v>280</v>
      </c>
      <c r="E80" s="72"/>
      <c r="F80" s="73" t="str">
        <f t="shared" si="2"/>
        <v/>
      </c>
      <c r="G80" s="51" t="s">
        <v>318</v>
      </c>
      <c r="I80" s="28"/>
    </row>
    <row r="81" spans="1:9" s="5" customFormat="1" ht="12" customHeight="1" x14ac:dyDescent="0.2">
      <c r="A81" s="181"/>
      <c r="B81" s="103" t="s">
        <v>90</v>
      </c>
      <c r="C81" s="104" t="s">
        <v>240</v>
      </c>
      <c r="D81" s="105">
        <v>360</v>
      </c>
      <c r="E81" s="106"/>
      <c r="F81" s="107" t="str">
        <f t="shared" si="2"/>
        <v/>
      </c>
      <c r="G81" s="108" t="s">
        <v>318</v>
      </c>
      <c r="I81" s="28"/>
    </row>
    <row r="82" spans="1:9" s="5" customFormat="1" ht="12" customHeight="1" thickBot="1" x14ac:dyDescent="0.25">
      <c r="A82" s="182"/>
      <c r="B82" s="57"/>
      <c r="C82" s="58"/>
      <c r="D82" s="80">
        <v>0</v>
      </c>
      <c r="E82" s="60"/>
      <c r="F82" s="61"/>
      <c r="G82" s="62"/>
      <c r="I82" s="28"/>
    </row>
    <row r="83" spans="1:9" s="5" customFormat="1" ht="12" customHeight="1" x14ac:dyDescent="0.2">
      <c r="A83" s="183" t="s">
        <v>91</v>
      </c>
      <c r="B83" s="87" t="s">
        <v>92</v>
      </c>
      <c r="C83" s="88" t="s">
        <v>241</v>
      </c>
      <c r="D83" s="89">
        <v>162</v>
      </c>
      <c r="E83" s="90"/>
      <c r="F83" s="91" t="str">
        <f t="shared" ref="F83:F103" si="3">IF(E83&gt;0,(D83*E83),"")</f>
        <v/>
      </c>
      <c r="G83" s="92" t="s">
        <v>318</v>
      </c>
      <c r="I83" s="28"/>
    </row>
    <row r="84" spans="1:9" s="5" customFormat="1" ht="12" customHeight="1" x14ac:dyDescent="0.2">
      <c r="A84" s="184"/>
      <c r="B84" s="111" t="s">
        <v>93</v>
      </c>
      <c r="C84" s="112" t="s">
        <v>242</v>
      </c>
      <c r="D84" s="113">
        <v>289</v>
      </c>
      <c r="E84" s="114"/>
      <c r="F84" s="115" t="str">
        <f t="shared" si="3"/>
        <v/>
      </c>
      <c r="G84" s="116" t="s">
        <v>318</v>
      </c>
      <c r="I84" s="28"/>
    </row>
    <row r="85" spans="1:9" ht="12" customHeight="1" x14ac:dyDescent="0.2">
      <c r="A85" s="184"/>
      <c r="B85" s="40" t="s">
        <v>94</v>
      </c>
      <c r="C85" s="70" t="s">
        <v>243</v>
      </c>
      <c r="D85" s="71">
        <v>95</v>
      </c>
      <c r="E85" s="72"/>
      <c r="F85" s="73" t="str">
        <f t="shared" si="3"/>
        <v/>
      </c>
      <c r="G85" s="51" t="s">
        <v>311</v>
      </c>
    </row>
    <row r="86" spans="1:9" s="5" customFormat="1" ht="12" customHeight="1" x14ac:dyDescent="0.2">
      <c r="A86" s="184"/>
      <c r="B86" s="111" t="s">
        <v>95</v>
      </c>
      <c r="C86" s="112" t="s">
        <v>244</v>
      </c>
      <c r="D86" s="113">
        <v>73</v>
      </c>
      <c r="E86" s="114"/>
      <c r="F86" s="115" t="str">
        <f t="shared" si="3"/>
        <v/>
      </c>
      <c r="G86" s="116" t="s">
        <v>324</v>
      </c>
      <c r="I86" s="28" t="s">
        <v>13</v>
      </c>
    </row>
    <row r="87" spans="1:9" s="5" customFormat="1" ht="12" customHeight="1" x14ac:dyDescent="0.2">
      <c r="A87" s="184"/>
      <c r="B87" s="40" t="s">
        <v>96</v>
      </c>
      <c r="C87" s="70" t="s">
        <v>245</v>
      </c>
      <c r="D87" s="71">
        <v>126</v>
      </c>
      <c r="E87" s="72"/>
      <c r="F87" s="73" t="str">
        <f t="shared" si="3"/>
        <v/>
      </c>
      <c r="G87" s="51" t="s">
        <v>311</v>
      </c>
      <c r="I87" s="28"/>
    </row>
    <row r="88" spans="1:9" s="5" customFormat="1" ht="12" customHeight="1" x14ac:dyDescent="0.2">
      <c r="A88" s="184"/>
      <c r="B88" s="111" t="s">
        <v>97</v>
      </c>
      <c r="C88" s="112" t="s">
        <v>246</v>
      </c>
      <c r="D88" s="113">
        <v>41</v>
      </c>
      <c r="E88" s="114"/>
      <c r="F88" s="115" t="str">
        <f t="shared" si="3"/>
        <v/>
      </c>
      <c r="G88" s="116" t="s">
        <v>325</v>
      </c>
      <c r="I88" s="28" t="s">
        <v>13</v>
      </c>
    </row>
    <row r="89" spans="1:9" s="5" customFormat="1" ht="12" customHeight="1" x14ac:dyDescent="0.2">
      <c r="A89" s="184"/>
      <c r="B89" s="40" t="s">
        <v>98</v>
      </c>
      <c r="C89" s="70" t="s">
        <v>247</v>
      </c>
      <c r="D89" s="71">
        <v>58</v>
      </c>
      <c r="E89" s="72"/>
      <c r="F89" s="73" t="str">
        <f t="shared" si="3"/>
        <v/>
      </c>
      <c r="G89" s="51" t="s">
        <v>325</v>
      </c>
      <c r="I89" s="28" t="s">
        <v>13</v>
      </c>
    </row>
    <row r="90" spans="1:9" s="5" customFormat="1" ht="12" customHeight="1" x14ac:dyDescent="0.2">
      <c r="A90" s="184"/>
      <c r="B90" s="111" t="s">
        <v>99</v>
      </c>
      <c r="C90" s="112" t="s">
        <v>248</v>
      </c>
      <c r="D90" s="113">
        <v>45</v>
      </c>
      <c r="E90" s="114"/>
      <c r="F90" s="115" t="str">
        <f t="shared" si="3"/>
        <v/>
      </c>
      <c r="G90" s="116" t="s">
        <v>325</v>
      </c>
      <c r="I90" s="28"/>
    </row>
    <row r="91" spans="1:9" s="5" customFormat="1" ht="12" customHeight="1" x14ac:dyDescent="0.2">
      <c r="A91" s="184"/>
      <c r="B91" s="40" t="s">
        <v>100</v>
      </c>
      <c r="C91" s="70" t="s">
        <v>249</v>
      </c>
      <c r="D91" s="71">
        <v>63</v>
      </c>
      <c r="E91" s="72"/>
      <c r="F91" s="73" t="str">
        <f t="shared" si="3"/>
        <v/>
      </c>
      <c r="G91" s="51" t="s">
        <v>325</v>
      </c>
      <c r="I91" s="28" t="s">
        <v>13</v>
      </c>
    </row>
    <row r="92" spans="1:9" s="5" customFormat="1" ht="12" customHeight="1" x14ac:dyDescent="0.2">
      <c r="A92" s="184"/>
      <c r="B92" s="111" t="s">
        <v>101</v>
      </c>
      <c r="C92" s="112" t="s">
        <v>250</v>
      </c>
      <c r="D92" s="113">
        <v>32</v>
      </c>
      <c r="E92" s="114"/>
      <c r="F92" s="115" t="str">
        <f t="shared" si="3"/>
        <v/>
      </c>
      <c r="G92" s="116" t="s">
        <v>325</v>
      </c>
      <c r="I92" s="28" t="s">
        <v>13</v>
      </c>
    </row>
    <row r="93" spans="1:9" s="5" customFormat="1" ht="12" customHeight="1" x14ac:dyDescent="0.2">
      <c r="A93" s="184"/>
      <c r="B93" s="40" t="s">
        <v>102</v>
      </c>
      <c r="C93" s="70" t="s">
        <v>251</v>
      </c>
      <c r="D93" s="71">
        <v>47</v>
      </c>
      <c r="E93" s="72"/>
      <c r="F93" s="73" t="str">
        <f t="shared" si="3"/>
        <v/>
      </c>
      <c r="G93" s="51" t="s">
        <v>313</v>
      </c>
      <c r="I93" s="28" t="s">
        <v>13</v>
      </c>
    </row>
    <row r="94" spans="1:9" s="5" customFormat="1" ht="12" customHeight="1" x14ac:dyDescent="0.2">
      <c r="A94" s="184"/>
      <c r="B94" s="111" t="s">
        <v>103</v>
      </c>
      <c r="C94" s="112" t="s">
        <v>252</v>
      </c>
      <c r="D94" s="113">
        <v>260</v>
      </c>
      <c r="E94" s="114"/>
      <c r="F94" s="115" t="str">
        <f t="shared" si="3"/>
        <v/>
      </c>
      <c r="G94" s="116" t="s">
        <v>313</v>
      </c>
      <c r="I94" s="28"/>
    </row>
    <row r="95" spans="1:9" s="5" customFormat="1" ht="12" customHeight="1" x14ac:dyDescent="0.2">
      <c r="A95" s="184"/>
      <c r="B95" s="40" t="s">
        <v>104</v>
      </c>
      <c r="C95" s="70" t="s">
        <v>253</v>
      </c>
      <c r="D95" s="71">
        <v>49</v>
      </c>
      <c r="E95" s="72"/>
      <c r="F95" s="73" t="str">
        <f t="shared" si="3"/>
        <v/>
      </c>
      <c r="G95" s="51" t="s">
        <v>318</v>
      </c>
      <c r="I95" s="28" t="s">
        <v>13</v>
      </c>
    </row>
    <row r="96" spans="1:9" s="5" customFormat="1" ht="12" customHeight="1" x14ac:dyDescent="0.2">
      <c r="A96" s="184"/>
      <c r="B96" s="111" t="s">
        <v>105</v>
      </c>
      <c r="C96" s="112" t="s">
        <v>254</v>
      </c>
      <c r="D96" s="113">
        <v>3</v>
      </c>
      <c r="E96" s="114"/>
      <c r="F96" s="115" t="str">
        <f t="shared" si="3"/>
        <v/>
      </c>
      <c r="G96" s="116" t="s">
        <v>326</v>
      </c>
      <c r="I96" s="28"/>
    </row>
    <row r="97" spans="1:9" s="5" customFormat="1" ht="12" customHeight="1" thickBot="1" x14ac:dyDescent="0.25">
      <c r="A97" s="184"/>
      <c r="B97" s="57" t="s">
        <v>106</v>
      </c>
      <c r="C97" s="58" t="s">
        <v>255</v>
      </c>
      <c r="D97" s="80">
        <v>49</v>
      </c>
      <c r="E97" s="60"/>
      <c r="F97" s="61" t="str">
        <f t="shared" si="3"/>
        <v/>
      </c>
      <c r="G97" s="62" t="s">
        <v>318</v>
      </c>
      <c r="I97" s="28" t="s">
        <v>13</v>
      </c>
    </row>
    <row r="98" spans="1:9" s="5" customFormat="1" ht="12" customHeight="1" x14ac:dyDescent="0.2">
      <c r="A98" s="184"/>
      <c r="B98" s="111" t="s">
        <v>107</v>
      </c>
      <c r="C98" s="112" t="s">
        <v>256</v>
      </c>
      <c r="D98" s="113">
        <v>10</v>
      </c>
      <c r="E98" s="114"/>
      <c r="F98" s="115" t="str">
        <f t="shared" si="3"/>
        <v/>
      </c>
      <c r="G98" s="116" t="s">
        <v>327</v>
      </c>
      <c r="I98" s="28" t="s">
        <v>13</v>
      </c>
    </row>
    <row r="99" spans="1:9" s="5" customFormat="1" ht="12" customHeight="1" x14ac:dyDescent="0.2">
      <c r="A99" s="184"/>
      <c r="B99" s="40" t="s">
        <v>108</v>
      </c>
      <c r="C99" s="70" t="s">
        <v>257</v>
      </c>
      <c r="D99" s="71">
        <v>21</v>
      </c>
      <c r="E99" s="72"/>
      <c r="F99" s="73" t="str">
        <f t="shared" si="3"/>
        <v/>
      </c>
      <c r="G99" s="51" t="s">
        <v>328</v>
      </c>
      <c r="I99" s="28" t="s">
        <v>13</v>
      </c>
    </row>
    <row r="100" spans="1:9" s="5" customFormat="1" ht="12" customHeight="1" x14ac:dyDescent="0.2">
      <c r="A100" s="184"/>
      <c r="B100" s="111" t="s">
        <v>109</v>
      </c>
      <c r="C100" s="112" t="s">
        <v>258</v>
      </c>
      <c r="D100" s="113">
        <v>11</v>
      </c>
      <c r="E100" s="114"/>
      <c r="F100" s="115" t="str">
        <f t="shared" si="3"/>
        <v/>
      </c>
      <c r="G100" s="116" t="s">
        <v>328</v>
      </c>
      <c r="I100" s="28" t="s">
        <v>13</v>
      </c>
    </row>
    <row r="101" spans="1:9" s="5" customFormat="1" ht="12" customHeight="1" x14ac:dyDescent="0.2">
      <c r="A101" s="184"/>
      <c r="B101" s="40" t="s">
        <v>110</v>
      </c>
      <c r="C101" s="70" t="s">
        <v>259</v>
      </c>
      <c r="D101" s="71">
        <v>16</v>
      </c>
      <c r="E101" s="72"/>
      <c r="F101" s="73" t="str">
        <f t="shared" si="3"/>
        <v/>
      </c>
      <c r="G101" s="51" t="s">
        <v>328</v>
      </c>
      <c r="I101" s="28" t="s">
        <v>13</v>
      </c>
    </row>
    <row r="102" spans="1:9" s="5" customFormat="1" ht="12" customHeight="1" x14ac:dyDescent="0.2">
      <c r="A102" s="184"/>
      <c r="B102" s="111" t="s">
        <v>111</v>
      </c>
      <c r="C102" s="112" t="s">
        <v>260</v>
      </c>
      <c r="D102" s="113">
        <v>140</v>
      </c>
      <c r="E102" s="114"/>
      <c r="F102" s="115" t="str">
        <f t="shared" si="3"/>
        <v/>
      </c>
      <c r="G102" s="116" t="s">
        <v>328</v>
      </c>
      <c r="I102" s="28" t="s">
        <v>13</v>
      </c>
    </row>
    <row r="103" spans="1:9" s="5" customFormat="1" ht="12" customHeight="1" x14ac:dyDescent="0.2">
      <c r="A103" s="184"/>
      <c r="B103" s="40" t="s">
        <v>112</v>
      </c>
      <c r="C103" s="70" t="s">
        <v>261</v>
      </c>
      <c r="D103" s="71">
        <v>10</v>
      </c>
      <c r="E103" s="72"/>
      <c r="F103" s="73" t="str">
        <f t="shared" si="3"/>
        <v/>
      </c>
      <c r="G103" s="51" t="s">
        <v>328</v>
      </c>
      <c r="I103" s="28"/>
    </row>
    <row r="104" spans="1:9" s="6" customFormat="1" ht="12" customHeight="1" thickBot="1" x14ac:dyDescent="0.25">
      <c r="A104" s="185"/>
      <c r="B104" s="57"/>
      <c r="C104" s="117"/>
      <c r="D104" s="117"/>
      <c r="E104" s="117"/>
      <c r="F104" s="118"/>
      <c r="G104" s="119"/>
      <c r="H104" s="120"/>
    </row>
    <row r="105" spans="1:9" s="5" customFormat="1" ht="12" customHeight="1" x14ac:dyDescent="0.2">
      <c r="A105" s="186" t="s">
        <v>113</v>
      </c>
      <c r="B105" s="121" t="s">
        <v>114</v>
      </c>
      <c r="C105" s="122" t="s">
        <v>262</v>
      </c>
      <c r="D105" s="123">
        <v>32</v>
      </c>
      <c r="E105" s="124"/>
      <c r="F105" s="125" t="str">
        <f t="shared" ref="F105:F128" si="4">IF(E105&gt;0,(D105*E105),"")</f>
        <v/>
      </c>
      <c r="G105" s="126" t="s">
        <v>314</v>
      </c>
      <c r="I105" s="28"/>
    </row>
    <row r="106" spans="1:9" s="5" customFormat="1" ht="12" customHeight="1" x14ac:dyDescent="0.2">
      <c r="A106" s="186"/>
      <c r="B106" s="40" t="s">
        <v>115</v>
      </c>
      <c r="C106" s="70" t="s">
        <v>263</v>
      </c>
      <c r="D106" s="71">
        <v>27</v>
      </c>
      <c r="E106" s="72"/>
      <c r="F106" s="73" t="str">
        <f t="shared" si="4"/>
        <v/>
      </c>
      <c r="G106" s="51" t="s">
        <v>314</v>
      </c>
      <c r="I106" s="28" t="s">
        <v>13</v>
      </c>
    </row>
    <row r="107" spans="1:9" s="5" customFormat="1" ht="12" customHeight="1" x14ac:dyDescent="0.2">
      <c r="A107" s="186"/>
      <c r="B107" s="127" t="s">
        <v>116</v>
      </c>
      <c r="C107" s="128" t="s">
        <v>264</v>
      </c>
      <c r="D107" s="129">
        <v>27</v>
      </c>
      <c r="E107" s="130"/>
      <c r="F107" s="131" t="str">
        <f t="shared" si="4"/>
        <v/>
      </c>
      <c r="G107" s="132" t="s">
        <v>314</v>
      </c>
      <c r="I107" s="28" t="s">
        <v>117</v>
      </c>
    </row>
    <row r="108" spans="1:9" s="5" customFormat="1" ht="12" customHeight="1" x14ac:dyDescent="0.2">
      <c r="A108" s="186"/>
      <c r="B108" s="40" t="s">
        <v>118</v>
      </c>
      <c r="C108" s="70" t="s">
        <v>265</v>
      </c>
      <c r="D108" s="71">
        <v>16</v>
      </c>
      <c r="E108" s="72"/>
      <c r="F108" s="73" t="str">
        <f t="shared" si="4"/>
        <v/>
      </c>
      <c r="G108" s="51" t="s">
        <v>314</v>
      </c>
      <c r="I108" s="28" t="s">
        <v>117</v>
      </c>
    </row>
    <row r="109" spans="1:9" s="5" customFormat="1" ht="12" customHeight="1" x14ac:dyDescent="0.2">
      <c r="A109" s="186"/>
      <c r="B109" s="127" t="s">
        <v>119</v>
      </c>
      <c r="C109" s="128" t="s">
        <v>266</v>
      </c>
      <c r="D109" s="129">
        <v>4</v>
      </c>
      <c r="E109" s="130"/>
      <c r="F109" s="131" t="str">
        <f t="shared" si="4"/>
        <v/>
      </c>
      <c r="G109" s="132" t="s">
        <v>314</v>
      </c>
      <c r="I109" s="28" t="s">
        <v>13</v>
      </c>
    </row>
    <row r="110" spans="1:9" ht="12" customHeight="1" x14ac:dyDescent="0.2">
      <c r="A110" s="186"/>
      <c r="B110" s="40" t="s">
        <v>120</v>
      </c>
      <c r="C110" s="70" t="s">
        <v>267</v>
      </c>
      <c r="D110" s="71">
        <v>11</v>
      </c>
      <c r="E110" s="72"/>
      <c r="F110" s="73" t="str">
        <f t="shared" si="4"/>
        <v/>
      </c>
      <c r="G110" s="51" t="s">
        <v>314</v>
      </c>
    </row>
    <row r="111" spans="1:9" s="5" customFormat="1" ht="12" customHeight="1" x14ac:dyDescent="0.2">
      <c r="A111" s="186"/>
      <c r="B111" s="127" t="s">
        <v>121</v>
      </c>
      <c r="C111" s="128" t="s">
        <v>268</v>
      </c>
      <c r="D111" s="129">
        <v>21</v>
      </c>
      <c r="E111" s="130"/>
      <c r="F111" s="131" t="str">
        <f t="shared" si="4"/>
        <v/>
      </c>
      <c r="G111" s="132" t="s">
        <v>314</v>
      </c>
      <c r="I111" s="28"/>
    </row>
    <row r="112" spans="1:9" s="5" customFormat="1" ht="12" customHeight="1" x14ac:dyDescent="0.2">
      <c r="A112" s="186"/>
      <c r="B112" s="40" t="s">
        <v>114</v>
      </c>
      <c r="C112" s="70" t="s">
        <v>262</v>
      </c>
      <c r="D112" s="71">
        <v>32</v>
      </c>
      <c r="E112" s="72"/>
      <c r="F112" s="73" t="str">
        <f t="shared" si="4"/>
        <v/>
      </c>
      <c r="G112" s="51" t="s">
        <v>314</v>
      </c>
      <c r="I112" s="28" t="s">
        <v>13</v>
      </c>
    </row>
    <row r="113" spans="1:9" ht="12" customHeight="1" x14ac:dyDescent="0.2">
      <c r="A113" s="186"/>
      <c r="B113" s="127" t="s">
        <v>122</v>
      </c>
      <c r="C113" s="128" t="s">
        <v>269</v>
      </c>
      <c r="D113" s="129">
        <v>210</v>
      </c>
      <c r="E113" s="130"/>
      <c r="F113" s="131" t="str">
        <f t="shared" si="4"/>
        <v/>
      </c>
      <c r="G113" s="132" t="s">
        <v>314</v>
      </c>
    </row>
    <row r="114" spans="1:9" s="5" customFormat="1" ht="12" customHeight="1" x14ac:dyDescent="0.2">
      <c r="A114" s="186"/>
      <c r="B114" s="40" t="s">
        <v>123</v>
      </c>
      <c r="C114" s="70" t="s">
        <v>270</v>
      </c>
      <c r="D114" s="71">
        <v>27</v>
      </c>
      <c r="E114" s="72"/>
      <c r="F114" s="73" t="str">
        <f t="shared" si="4"/>
        <v/>
      </c>
      <c r="G114" s="51" t="s">
        <v>314</v>
      </c>
      <c r="I114" s="28" t="s">
        <v>13</v>
      </c>
    </row>
    <row r="115" spans="1:9" s="5" customFormat="1" ht="12" customHeight="1" x14ac:dyDescent="0.2">
      <c r="A115" s="186"/>
      <c r="B115" s="127" t="s">
        <v>124</v>
      </c>
      <c r="C115" s="128" t="s">
        <v>271</v>
      </c>
      <c r="D115" s="129">
        <v>21</v>
      </c>
      <c r="E115" s="130"/>
      <c r="F115" s="131" t="str">
        <f t="shared" si="4"/>
        <v/>
      </c>
      <c r="G115" s="132" t="s">
        <v>314</v>
      </c>
      <c r="I115" s="28" t="s">
        <v>13</v>
      </c>
    </row>
    <row r="116" spans="1:9" s="5" customFormat="1" ht="12" customHeight="1" x14ac:dyDescent="0.2">
      <c r="A116" s="186"/>
      <c r="B116" s="40" t="s">
        <v>120</v>
      </c>
      <c r="C116" s="70" t="s">
        <v>267</v>
      </c>
      <c r="D116" s="71">
        <v>11</v>
      </c>
      <c r="E116" s="72"/>
      <c r="F116" s="73" t="str">
        <f t="shared" si="4"/>
        <v/>
      </c>
      <c r="G116" s="51" t="s">
        <v>314</v>
      </c>
      <c r="I116" s="28"/>
    </row>
    <row r="117" spans="1:9" s="5" customFormat="1" ht="12" customHeight="1" x14ac:dyDescent="0.2">
      <c r="A117" s="186"/>
      <c r="B117" s="127" t="s">
        <v>125</v>
      </c>
      <c r="C117" s="128" t="s">
        <v>272</v>
      </c>
      <c r="D117" s="129">
        <v>11</v>
      </c>
      <c r="E117" s="130"/>
      <c r="F117" s="131" t="str">
        <f t="shared" si="4"/>
        <v/>
      </c>
      <c r="G117" s="132" t="s">
        <v>314</v>
      </c>
      <c r="I117" s="28" t="s">
        <v>13</v>
      </c>
    </row>
    <row r="118" spans="1:9" s="5" customFormat="1" ht="12" customHeight="1" x14ac:dyDescent="0.2">
      <c r="A118" s="186"/>
      <c r="B118" s="40" t="s">
        <v>126</v>
      </c>
      <c r="C118" s="70" t="s">
        <v>273</v>
      </c>
      <c r="D118" s="71">
        <v>16</v>
      </c>
      <c r="E118" s="72"/>
      <c r="F118" s="73" t="str">
        <f t="shared" si="4"/>
        <v/>
      </c>
      <c r="G118" s="51" t="s">
        <v>316</v>
      </c>
      <c r="I118" s="28" t="s">
        <v>13</v>
      </c>
    </row>
    <row r="119" spans="1:9" s="5" customFormat="1" ht="12" customHeight="1" x14ac:dyDescent="0.2">
      <c r="A119" s="186"/>
      <c r="B119" s="127" t="s">
        <v>127</v>
      </c>
      <c r="C119" s="128" t="s">
        <v>274</v>
      </c>
      <c r="D119" s="129">
        <v>25</v>
      </c>
      <c r="E119" s="130"/>
      <c r="F119" s="131" t="str">
        <f t="shared" si="4"/>
        <v/>
      </c>
      <c r="G119" s="132" t="s">
        <v>314</v>
      </c>
      <c r="I119" s="28" t="s">
        <v>117</v>
      </c>
    </row>
    <row r="120" spans="1:9" s="5" customFormat="1" ht="12" customHeight="1" x14ac:dyDescent="0.2">
      <c r="A120" s="186"/>
      <c r="B120" s="40" t="s">
        <v>128</v>
      </c>
      <c r="C120" s="70" t="s">
        <v>275</v>
      </c>
      <c r="D120" s="71">
        <v>25</v>
      </c>
      <c r="E120" s="72"/>
      <c r="F120" s="73" t="str">
        <f t="shared" si="4"/>
        <v/>
      </c>
      <c r="G120" s="51" t="s">
        <v>314</v>
      </c>
      <c r="I120" s="28" t="s">
        <v>13</v>
      </c>
    </row>
    <row r="121" spans="1:9" s="5" customFormat="1" ht="12" customHeight="1" x14ac:dyDescent="0.2">
      <c r="A121" s="186"/>
      <c r="B121" s="127" t="s">
        <v>129</v>
      </c>
      <c r="C121" s="128" t="s">
        <v>276</v>
      </c>
      <c r="D121" s="129">
        <v>25</v>
      </c>
      <c r="E121" s="130"/>
      <c r="F121" s="131" t="str">
        <f t="shared" si="4"/>
        <v/>
      </c>
      <c r="G121" s="132" t="s">
        <v>314</v>
      </c>
      <c r="I121" s="28" t="s">
        <v>13</v>
      </c>
    </row>
    <row r="122" spans="1:9" s="5" customFormat="1" ht="12" customHeight="1" x14ac:dyDescent="0.2">
      <c r="A122" s="186"/>
      <c r="B122" s="40" t="s">
        <v>130</v>
      </c>
      <c r="C122" s="70" t="s">
        <v>277</v>
      </c>
      <c r="D122" s="71">
        <v>25</v>
      </c>
      <c r="E122" s="72"/>
      <c r="F122" s="73" t="str">
        <f t="shared" si="4"/>
        <v/>
      </c>
      <c r="G122" s="51" t="s">
        <v>314</v>
      </c>
      <c r="I122" s="28"/>
    </row>
    <row r="123" spans="1:9" s="5" customFormat="1" ht="12" customHeight="1" x14ac:dyDescent="0.2">
      <c r="A123" s="186"/>
      <c r="B123" s="127" t="s">
        <v>131</v>
      </c>
      <c r="C123" s="128" t="s">
        <v>278</v>
      </c>
      <c r="D123" s="129">
        <v>20</v>
      </c>
      <c r="E123" s="130"/>
      <c r="F123" s="131" t="str">
        <f t="shared" si="4"/>
        <v/>
      </c>
      <c r="G123" s="132" t="s">
        <v>314</v>
      </c>
      <c r="I123" s="28"/>
    </row>
    <row r="124" spans="1:9" s="5" customFormat="1" ht="12" customHeight="1" x14ac:dyDescent="0.2">
      <c r="A124" s="186"/>
      <c r="B124" s="40" t="s">
        <v>132</v>
      </c>
      <c r="C124" s="70" t="s">
        <v>279</v>
      </c>
      <c r="D124" s="71">
        <v>25</v>
      </c>
      <c r="E124" s="72"/>
      <c r="F124" s="73" t="str">
        <f t="shared" si="4"/>
        <v/>
      </c>
      <c r="G124" s="51" t="s">
        <v>314</v>
      </c>
      <c r="I124" s="28" t="s">
        <v>13</v>
      </c>
    </row>
    <row r="125" spans="1:9" s="5" customFormat="1" ht="12" customHeight="1" x14ac:dyDescent="0.2">
      <c r="A125" s="186"/>
      <c r="B125" s="127" t="s">
        <v>133</v>
      </c>
      <c r="C125" s="128" t="s">
        <v>280</v>
      </c>
      <c r="D125" s="129">
        <v>27</v>
      </c>
      <c r="E125" s="130"/>
      <c r="F125" s="131" t="str">
        <f t="shared" si="4"/>
        <v/>
      </c>
      <c r="G125" s="132" t="s">
        <v>314</v>
      </c>
      <c r="I125" s="28" t="s">
        <v>13</v>
      </c>
    </row>
    <row r="126" spans="1:9" ht="12" customHeight="1" x14ac:dyDescent="0.2">
      <c r="A126" s="186"/>
      <c r="B126" s="40" t="s">
        <v>134</v>
      </c>
      <c r="C126" s="70" t="s">
        <v>281</v>
      </c>
      <c r="D126" s="71">
        <v>15</v>
      </c>
      <c r="E126" s="72"/>
      <c r="F126" s="73" t="str">
        <f t="shared" si="4"/>
        <v/>
      </c>
      <c r="G126" s="51" t="s">
        <v>314</v>
      </c>
    </row>
    <row r="127" spans="1:9" ht="12" customHeight="1" x14ac:dyDescent="0.2">
      <c r="A127" s="186"/>
      <c r="B127" s="127" t="s">
        <v>135</v>
      </c>
      <c r="C127" s="128" t="s">
        <v>282</v>
      </c>
      <c r="D127" s="129">
        <v>55</v>
      </c>
      <c r="E127" s="130"/>
      <c r="F127" s="131" t="str">
        <f t="shared" si="4"/>
        <v/>
      </c>
      <c r="G127" s="132" t="s">
        <v>314</v>
      </c>
    </row>
    <row r="128" spans="1:9" s="6" customFormat="1" ht="12" customHeight="1" x14ac:dyDescent="0.2">
      <c r="A128" s="186"/>
      <c r="B128" s="40" t="s">
        <v>136</v>
      </c>
      <c r="C128" s="70" t="s">
        <v>283</v>
      </c>
      <c r="D128" s="71">
        <v>15</v>
      </c>
      <c r="E128" s="72"/>
      <c r="F128" s="73" t="str">
        <f t="shared" si="4"/>
        <v/>
      </c>
      <c r="G128" s="51" t="s">
        <v>314</v>
      </c>
      <c r="H128" s="120"/>
    </row>
    <row r="129" spans="1:9" s="6" customFormat="1" ht="12" customHeight="1" thickBot="1" x14ac:dyDescent="0.25">
      <c r="A129" s="187"/>
      <c r="B129" s="57"/>
      <c r="C129" s="58"/>
      <c r="D129" s="80"/>
      <c r="E129" s="60"/>
      <c r="F129" s="61"/>
      <c r="G129" s="62"/>
      <c r="H129" s="120"/>
    </row>
    <row r="130" spans="1:9" s="5" customFormat="1" ht="12" customHeight="1" x14ac:dyDescent="0.2">
      <c r="A130" s="166" t="s">
        <v>137</v>
      </c>
      <c r="B130" s="133" t="s">
        <v>138</v>
      </c>
      <c r="C130" s="134" t="s">
        <v>284</v>
      </c>
      <c r="D130" s="135">
        <v>13</v>
      </c>
      <c r="E130" s="136"/>
      <c r="F130" s="137" t="str">
        <f t="shared" ref="F130:F150" si="5">IF(E130&gt;0,(D130*E130),"")</f>
        <v/>
      </c>
      <c r="G130" s="138" t="s">
        <v>329</v>
      </c>
      <c r="I130" s="28"/>
    </row>
    <row r="131" spans="1:9" s="5" customFormat="1" ht="12" customHeight="1" x14ac:dyDescent="0.2">
      <c r="A131" s="167"/>
      <c r="B131" s="40" t="s">
        <v>139</v>
      </c>
      <c r="C131" s="70" t="s">
        <v>285</v>
      </c>
      <c r="D131" s="71">
        <v>35</v>
      </c>
      <c r="E131" s="72"/>
      <c r="F131" s="73" t="str">
        <f t="shared" si="5"/>
        <v/>
      </c>
      <c r="G131" s="51" t="s">
        <v>316</v>
      </c>
      <c r="I131" s="28"/>
    </row>
    <row r="132" spans="1:9" s="5" customFormat="1" ht="12" customHeight="1" x14ac:dyDescent="0.2">
      <c r="A132" s="167"/>
      <c r="B132" s="139" t="s">
        <v>140</v>
      </c>
      <c r="C132" s="140" t="s">
        <v>286</v>
      </c>
      <c r="D132" s="141">
        <v>58</v>
      </c>
      <c r="E132" s="142"/>
      <c r="F132" s="143" t="str">
        <f t="shared" si="5"/>
        <v/>
      </c>
      <c r="G132" s="144" t="s">
        <v>329</v>
      </c>
      <c r="I132" s="28"/>
    </row>
    <row r="133" spans="1:9" s="5" customFormat="1" ht="12" customHeight="1" x14ac:dyDescent="0.2">
      <c r="A133" s="167"/>
      <c r="B133" s="40" t="s">
        <v>141</v>
      </c>
      <c r="C133" s="70" t="s">
        <v>287</v>
      </c>
      <c r="D133" s="71">
        <v>143</v>
      </c>
      <c r="E133" s="72"/>
      <c r="F133" s="73" t="str">
        <f t="shared" si="5"/>
        <v/>
      </c>
      <c r="G133" s="51" t="s">
        <v>316</v>
      </c>
      <c r="I133" s="28"/>
    </row>
    <row r="134" spans="1:9" s="6" customFormat="1" ht="12" customHeight="1" x14ac:dyDescent="0.2">
      <c r="A134" s="167"/>
      <c r="B134" s="139" t="s">
        <v>142</v>
      </c>
      <c r="C134" s="140" t="s">
        <v>288</v>
      </c>
      <c r="D134" s="141">
        <v>110</v>
      </c>
      <c r="E134" s="142"/>
      <c r="F134" s="143" t="str">
        <f t="shared" si="5"/>
        <v/>
      </c>
      <c r="G134" s="144" t="s">
        <v>330</v>
      </c>
      <c r="H134" s="120"/>
    </row>
    <row r="135" spans="1:9" s="6" customFormat="1" ht="12" customHeight="1" x14ac:dyDescent="0.2">
      <c r="A135" s="167"/>
      <c r="B135" s="40" t="s">
        <v>143</v>
      </c>
      <c r="C135" s="70" t="s">
        <v>289</v>
      </c>
      <c r="D135" s="71">
        <v>100</v>
      </c>
      <c r="E135" s="72"/>
      <c r="F135" s="73" t="str">
        <f t="shared" si="5"/>
        <v/>
      </c>
      <c r="G135" s="51" t="s">
        <v>330</v>
      </c>
      <c r="H135" s="120"/>
    </row>
    <row r="136" spans="1:9" s="5" customFormat="1" ht="12" customHeight="1" x14ac:dyDescent="0.2">
      <c r="A136" s="167"/>
      <c r="B136" s="40" t="s">
        <v>144</v>
      </c>
      <c r="C136" s="70" t="s">
        <v>290</v>
      </c>
      <c r="D136" s="71">
        <v>79</v>
      </c>
      <c r="E136" s="72"/>
      <c r="F136" s="73" t="str">
        <f t="shared" si="5"/>
        <v/>
      </c>
      <c r="G136" s="51" t="s">
        <v>331</v>
      </c>
      <c r="I136" s="28" t="s">
        <v>13</v>
      </c>
    </row>
    <row r="137" spans="1:9" ht="12" customHeight="1" x14ac:dyDescent="0.2">
      <c r="A137" s="167"/>
      <c r="B137" s="139" t="s">
        <v>145</v>
      </c>
      <c r="C137" s="140" t="s">
        <v>291</v>
      </c>
      <c r="D137" s="141">
        <v>415</v>
      </c>
      <c r="E137" s="142"/>
      <c r="F137" s="143" t="str">
        <f t="shared" si="5"/>
        <v/>
      </c>
      <c r="G137" s="144" t="s">
        <v>316</v>
      </c>
    </row>
    <row r="138" spans="1:9" ht="12" customHeight="1" x14ac:dyDescent="0.2">
      <c r="A138" s="167"/>
      <c r="B138" s="40" t="s">
        <v>145</v>
      </c>
      <c r="C138" s="70" t="s">
        <v>291</v>
      </c>
      <c r="D138" s="71">
        <v>415</v>
      </c>
      <c r="E138" s="72"/>
      <c r="F138" s="73" t="str">
        <f t="shared" si="5"/>
        <v/>
      </c>
      <c r="G138" s="51" t="s">
        <v>316</v>
      </c>
    </row>
    <row r="139" spans="1:9" s="5" customFormat="1" ht="12" customHeight="1" x14ac:dyDescent="0.2">
      <c r="A139" s="167"/>
      <c r="B139" s="139" t="s">
        <v>146</v>
      </c>
      <c r="C139" s="140" t="s">
        <v>292</v>
      </c>
      <c r="D139" s="141">
        <v>15</v>
      </c>
      <c r="E139" s="142"/>
      <c r="F139" s="143" t="str">
        <f t="shared" si="5"/>
        <v/>
      </c>
      <c r="G139" s="144" t="s">
        <v>332</v>
      </c>
      <c r="I139" s="28"/>
    </row>
    <row r="140" spans="1:9" s="145" customFormat="1" ht="12" customHeight="1" x14ac:dyDescent="0.2">
      <c r="A140" s="167"/>
      <c r="B140" s="40" t="s">
        <v>147</v>
      </c>
      <c r="C140" s="70" t="s">
        <v>293</v>
      </c>
      <c r="D140" s="71">
        <v>10</v>
      </c>
      <c r="E140" s="72"/>
      <c r="F140" s="73" t="str">
        <f t="shared" si="5"/>
        <v/>
      </c>
      <c r="G140" s="51" t="s">
        <v>314</v>
      </c>
      <c r="H140" s="5"/>
      <c r="I140" s="6"/>
    </row>
    <row r="141" spans="1:9" s="145" customFormat="1" ht="12" customHeight="1" x14ac:dyDescent="0.2">
      <c r="A141" s="167"/>
      <c r="B141" s="139" t="s">
        <v>148</v>
      </c>
      <c r="C141" s="140" t="s">
        <v>294</v>
      </c>
      <c r="D141" s="141">
        <v>130</v>
      </c>
      <c r="E141" s="142"/>
      <c r="F141" s="143" t="str">
        <f t="shared" si="5"/>
        <v/>
      </c>
      <c r="G141" s="144" t="s">
        <v>333</v>
      </c>
      <c r="H141" s="5"/>
      <c r="I141" s="6"/>
    </row>
    <row r="142" spans="1:9" s="145" customFormat="1" ht="12" customHeight="1" x14ac:dyDescent="0.2">
      <c r="A142" s="167"/>
      <c r="B142" s="40" t="s">
        <v>149</v>
      </c>
      <c r="C142" s="70" t="s">
        <v>295</v>
      </c>
      <c r="D142" s="71">
        <v>106</v>
      </c>
      <c r="E142" s="72"/>
      <c r="F142" s="73" t="str">
        <f t="shared" si="5"/>
        <v/>
      </c>
      <c r="G142" s="51" t="s">
        <v>333</v>
      </c>
      <c r="H142" s="5"/>
      <c r="I142" s="6"/>
    </row>
    <row r="143" spans="1:9" s="145" customFormat="1" ht="12" customHeight="1" x14ac:dyDescent="0.2">
      <c r="A143" s="167"/>
      <c r="B143" s="139" t="s">
        <v>150</v>
      </c>
      <c r="C143" s="140" t="s">
        <v>296</v>
      </c>
      <c r="D143" s="141">
        <v>121</v>
      </c>
      <c r="E143" s="142"/>
      <c r="F143" s="143" t="str">
        <f t="shared" si="5"/>
        <v/>
      </c>
      <c r="G143" s="144" t="s">
        <v>333</v>
      </c>
      <c r="H143" s="5"/>
      <c r="I143" s="6"/>
    </row>
    <row r="144" spans="1:9" s="145" customFormat="1" ht="12" customHeight="1" x14ac:dyDescent="0.2">
      <c r="A144" s="167"/>
      <c r="B144" s="40" t="s">
        <v>151</v>
      </c>
      <c r="C144" s="70" t="s">
        <v>297</v>
      </c>
      <c r="D144" s="71">
        <v>121</v>
      </c>
      <c r="E144" s="72"/>
      <c r="F144" s="73" t="str">
        <f t="shared" si="5"/>
        <v/>
      </c>
      <c r="G144" s="51" t="s">
        <v>333</v>
      </c>
      <c r="H144" s="5"/>
      <c r="I144" s="6"/>
    </row>
    <row r="145" spans="1:9" ht="12" customHeight="1" x14ac:dyDescent="0.2">
      <c r="A145" s="167"/>
      <c r="B145" s="139" t="s">
        <v>152</v>
      </c>
      <c r="C145" s="140" t="s">
        <v>298</v>
      </c>
      <c r="D145" s="141">
        <v>121</v>
      </c>
      <c r="E145" s="142"/>
      <c r="F145" s="143" t="str">
        <f t="shared" si="5"/>
        <v/>
      </c>
      <c r="G145" s="144" t="s">
        <v>333</v>
      </c>
    </row>
    <row r="146" spans="1:9" s="5" customFormat="1" ht="12" customHeight="1" x14ac:dyDescent="0.2">
      <c r="A146" s="167"/>
      <c r="B146" s="40" t="s">
        <v>153</v>
      </c>
      <c r="C146" s="70" t="s">
        <v>299</v>
      </c>
      <c r="D146" s="71">
        <v>18</v>
      </c>
      <c r="E146" s="72"/>
      <c r="F146" s="73" t="str">
        <f t="shared" si="5"/>
        <v/>
      </c>
      <c r="G146" s="51" t="s">
        <v>316</v>
      </c>
      <c r="I146" s="28"/>
    </row>
    <row r="147" spans="1:9" s="5" customFormat="1" ht="12" customHeight="1" x14ac:dyDescent="0.2">
      <c r="A147" s="167"/>
      <c r="B147" s="139" t="s">
        <v>154</v>
      </c>
      <c r="C147" s="140" t="s">
        <v>300</v>
      </c>
      <c r="D147" s="141">
        <v>16</v>
      </c>
      <c r="E147" s="142"/>
      <c r="F147" s="143" t="str">
        <f t="shared" si="5"/>
        <v/>
      </c>
      <c r="G147" s="144" t="s">
        <v>314</v>
      </c>
      <c r="I147" s="28"/>
    </row>
    <row r="148" spans="1:9" s="5" customFormat="1" ht="12" customHeight="1" x14ac:dyDescent="0.2">
      <c r="A148" s="167"/>
      <c r="B148" s="40" t="s">
        <v>155</v>
      </c>
      <c r="C148" s="70" t="s">
        <v>301</v>
      </c>
      <c r="D148" s="71">
        <v>16</v>
      </c>
      <c r="E148" s="72"/>
      <c r="F148" s="73" t="str">
        <f t="shared" si="5"/>
        <v/>
      </c>
      <c r="G148" s="51" t="s">
        <v>311</v>
      </c>
      <c r="I148" s="28"/>
    </row>
    <row r="149" spans="1:9" s="5" customFormat="1" ht="12" customHeight="1" x14ac:dyDescent="0.2">
      <c r="A149" s="167"/>
      <c r="B149" s="139" t="s">
        <v>156</v>
      </c>
      <c r="C149" s="140" t="s">
        <v>302</v>
      </c>
      <c r="D149" s="141">
        <v>15</v>
      </c>
      <c r="E149" s="142"/>
      <c r="F149" s="143" t="str">
        <f t="shared" si="5"/>
        <v/>
      </c>
      <c r="G149" s="144" t="s">
        <v>314</v>
      </c>
      <c r="I149" s="28"/>
    </row>
    <row r="150" spans="1:9" s="5" customFormat="1" ht="12" customHeight="1" x14ac:dyDescent="0.2">
      <c r="A150" s="167"/>
      <c r="B150" s="40" t="s">
        <v>157</v>
      </c>
      <c r="C150" s="70" t="s">
        <v>303</v>
      </c>
      <c r="D150" s="71">
        <v>15</v>
      </c>
      <c r="E150" s="72"/>
      <c r="F150" s="73" t="str">
        <f t="shared" si="5"/>
        <v/>
      </c>
      <c r="G150" s="51" t="s">
        <v>314</v>
      </c>
      <c r="I150" s="28"/>
    </row>
    <row r="151" spans="1:9" s="5" customFormat="1" ht="12" customHeight="1" thickBot="1" x14ac:dyDescent="0.25">
      <c r="A151" s="168"/>
      <c r="B151" s="57"/>
      <c r="C151" s="58"/>
      <c r="D151" s="80"/>
      <c r="E151" s="60"/>
      <c r="F151" s="61"/>
      <c r="G151" s="62"/>
      <c r="I151" s="28"/>
    </row>
    <row r="152" spans="1:9" s="5" customFormat="1" ht="12" customHeight="1" x14ac:dyDescent="0.2">
      <c r="A152" s="169" t="s">
        <v>158</v>
      </c>
      <c r="B152" s="146" t="s">
        <v>159</v>
      </c>
      <c r="C152" s="147" t="s">
        <v>304</v>
      </c>
      <c r="D152" s="148">
        <v>60</v>
      </c>
      <c r="E152" s="149"/>
      <c r="F152" s="150" t="str">
        <f>IF(E152&gt;0,(D152*E152),"")</f>
        <v/>
      </c>
      <c r="G152" s="151" t="s">
        <v>321</v>
      </c>
      <c r="I152" s="28"/>
    </row>
    <row r="153" spans="1:9" s="5" customFormat="1" ht="12" customHeight="1" x14ac:dyDescent="0.2">
      <c r="A153" s="170"/>
      <c r="B153" s="40" t="s">
        <v>160</v>
      </c>
      <c r="C153" s="152" t="s">
        <v>305</v>
      </c>
      <c r="D153" s="49">
        <v>70</v>
      </c>
      <c r="E153" s="50"/>
      <c r="F153" s="153" t="str">
        <f>IF(E153&gt;0,(D153*E153),"")</f>
        <v/>
      </c>
      <c r="G153" s="154" t="s">
        <v>321</v>
      </c>
      <c r="I153" s="28"/>
    </row>
    <row r="154" spans="1:9" s="5" customFormat="1" ht="12" customHeight="1" x14ac:dyDescent="0.2">
      <c r="A154" s="170"/>
      <c r="B154" s="155" t="s">
        <v>161</v>
      </c>
      <c r="C154" s="156" t="s">
        <v>306</v>
      </c>
      <c r="D154" s="157">
        <v>50</v>
      </c>
      <c r="E154" s="158"/>
      <c r="F154" s="159" t="str">
        <f>IF(E154&gt;0,(D154*E154),"")</f>
        <v/>
      </c>
      <c r="G154" s="160" t="s">
        <v>321</v>
      </c>
      <c r="I154" s="28"/>
    </row>
    <row r="155" spans="1:9" s="5" customFormat="1" ht="12" customHeight="1" x14ac:dyDescent="0.2">
      <c r="A155" s="170"/>
      <c r="B155" s="40" t="s">
        <v>162</v>
      </c>
      <c r="C155" s="152" t="s">
        <v>307</v>
      </c>
      <c r="D155" s="49">
        <v>50</v>
      </c>
      <c r="E155" s="50"/>
      <c r="F155" s="153" t="str">
        <f>IF(E155&gt;0,(D155*E155),"")</f>
        <v/>
      </c>
      <c r="G155" s="154" t="s">
        <v>321</v>
      </c>
      <c r="I155" s="28"/>
    </row>
    <row r="156" spans="1:9" s="5" customFormat="1" ht="12" customHeight="1" x14ac:dyDescent="0.2">
      <c r="A156" s="170"/>
      <c r="B156" s="155" t="s">
        <v>83</v>
      </c>
      <c r="C156" s="156" t="s">
        <v>233</v>
      </c>
      <c r="D156" s="157">
        <v>30</v>
      </c>
      <c r="E156" s="158"/>
      <c r="F156" s="159" t="str">
        <f>IF(E156&gt;0,(D156*E156),"")</f>
        <v/>
      </c>
      <c r="G156" s="160" t="s">
        <v>321</v>
      </c>
      <c r="I156" s="28" t="s">
        <v>13</v>
      </c>
    </row>
    <row r="157" spans="1:9" s="5" customFormat="1" ht="12" customHeight="1" x14ac:dyDescent="0.2">
      <c r="A157" s="170"/>
      <c r="B157" s="40"/>
      <c r="C157" s="152" t="s">
        <v>163</v>
      </c>
      <c r="D157" s="49" t="s">
        <v>164</v>
      </c>
      <c r="E157" s="50"/>
      <c r="F157" s="153"/>
      <c r="G157" s="154"/>
      <c r="I157" s="28"/>
    </row>
    <row r="158" spans="1:9" s="5" customFormat="1" ht="12" customHeight="1" x14ac:dyDescent="0.2">
      <c r="A158" s="170"/>
      <c r="B158" s="155"/>
      <c r="C158" s="156" t="s">
        <v>165</v>
      </c>
      <c r="D158" s="157" t="s">
        <v>164</v>
      </c>
      <c r="E158" s="158"/>
      <c r="F158" s="159"/>
      <c r="G158" s="160"/>
      <c r="I158" s="28"/>
    </row>
    <row r="159" spans="1:9" s="5" customFormat="1" ht="12" customHeight="1" x14ac:dyDescent="0.2">
      <c r="A159" s="170"/>
      <c r="B159" s="40"/>
      <c r="C159" s="152" t="s">
        <v>166</v>
      </c>
      <c r="D159" s="49" t="s">
        <v>164</v>
      </c>
      <c r="E159" s="50"/>
      <c r="F159" s="153"/>
      <c r="G159" s="154"/>
      <c r="I159" s="28"/>
    </row>
    <row r="160" spans="1:9" s="5" customFormat="1" ht="12" customHeight="1" x14ac:dyDescent="0.2">
      <c r="A160" s="170"/>
      <c r="B160" s="155"/>
      <c r="C160" s="156" t="s">
        <v>167</v>
      </c>
      <c r="D160" s="157" t="s">
        <v>164</v>
      </c>
      <c r="E160" s="158"/>
      <c r="F160" s="159" t="str">
        <f>IF(E160&gt;0,(D160*E160),"")</f>
        <v/>
      </c>
      <c r="G160" s="160"/>
      <c r="I160" s="28"/>
    </row>
    <row r="161" spans="1:9" s="5" customFormat="1" ht="12" customHeight="1" thickBot="1" x14ac:dyDescent="0.25">
      <c r="A161" s="171"/>
      <c r="B161" s="57"/>
      <c r="C161" s="161"/>
      <c r="D161" s="59"/>
      <c r="E161" s="162"/>
      <c r="F161" s="163" t="str">
        <f>IF(E161&gt;0,(D161*E161),"")</f>
        <v/>
      </c>
      <c r="G161" s="164"/>
      <c r="I161" s="28"/>
    </row>
  </sheetData>
  <mergeCells count="8">
    <mergeCell ref="A130:A151"/>
    <mergeCell ref="A152:A161"/>
    <mergeCell ref="A4:A15"/>
    <mergeCell ref="A16:A19"/>
    <mergeCell ref="A20:A63"/>
    <mergeCell ref="A64:A82"/>
    <mergeCell ref="A83:A104"/>
    <mergeCell ref="A105:A129"/>
  </mergeCells>
  <dataValidations count="1">
    <dataValidation type="whole" allowBlank="1" showInputMessage="1" showErrorMessage="1" sqref="E105:E161 E4:E103" xr:uid="{D8FB3574-F9EE-473E-9846-F98C8BF9C2CE}">
      <formula1>1</formula1>
      <formula2>100</formula2>
    </dataValidation>
  </dataValidations>
  <pageMargins left="0.70866141732283472" right="0.70866141732283472" top="1.1417322834645669" bottom="0.74803149606299213" header="0.31496062992125984" footer="0.31496062992125984"/>
  <pageSetup paperSize="9" scale="57" fitToHeight="0" orientation="portrait" r:id="rId1"/>
  <headerFooter>
    <oddHeader>&amp;LFDS-Timing
www.fdstiming.com
info@fdstiming.com&amp;C&amp;"Arial,Gras"&amp;14Price List 2019&amp;R&amp;G</oddHeader>
  </headerFooter>
  <rowBreaks count="1" manualBreakCount="1">
    <brk id="104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Official Price list</vt:lpstr>
      <vt:lpstr>'Official Price list'!Zone_d_impression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Jacques-Henri Depraz</dc:creator>
  <cp:lastModifiedBy>Jacques-Henri Depraz</cp:lastModifiedBy>
  <dcterms:created xsi:type="dcterms:W3CDTF">2026-01-05T14:00:29Z</dcterms:created>
  <dcterms:modified xsi:type="dcterms:W3CDTF">2026-02-06T10:06:34Z</dcterms:modified>
</cp:coreProperties>
</file>